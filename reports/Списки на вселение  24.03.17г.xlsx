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2 этаж " sheetId="2" r:id="rId1"/>
    <sheet name="3 этаж" sheetId="1" r:id="rId2"/>
    <sheet name="4 этаж" sheetId="5" r:id="rId3"/>
    <sheet name="5 этаж" sheetId="6" r:id="rId4"/>
    <sheet name="отчет" sheetId="7" r:id="rId5"/>
  </sheets>
  <definedNames>
    <definedName name="_xlnm._FilterDatabase" localSheetId="0" hidden="1">'2 этаж '!$B$2:$K$96</definedName>
    <definedName name="_xlnm._FilterDatabase" localSheetId="1" hidden="1">'3 этаж'!$B$2:$K$92</definedName>
    <definedName name="_xlnm._FilterDatabase" localSheetId="2" hidden="1">'4 этаж'!$B$2:$K$94</definedName>
    <definedName name="_xlnm._FilterDatabase" localSheetId="3" hidden="1">'5 этаж'!$B$2:$K$92</definedName>
  </definedNames>
  <calcPr calcId="145621"/>
</workbook>
</file>

<file path=xl/calcChain.xml><?xml version="1.0" encoding="utf-8"?>
<calcChain xmlns="http://schemas.openxmlformats.org/spreadsheetml/2006/main">
  <c r="E9" i="7" l="1"/>
  <c r="D6" i="7"/>
  <c r="D7" i="7"/>
  <c r="D8" i="7"/>
  <c r="D9" i="7"/>
  <c r="D5" i="7"/>
  <c r="C6" i="7"/>
  <c r="C7" i="7"/>
  <c r="C8" i="7"/>
  <c r="C5" i="7"/>
  <c r="B6" i="7"/>
  <c r="B7" i="7"/>
  <c r="B8" i="7"/>
  <c r="F9" i="7"/>
  <c r="C9" i="7" s="1"/>
  <c r="G9" i="7"/>
  <c r="H9" i="7"/>
  <c r="I9" i="7"/>
  <c r="J9" i="7"/>
  <c r="B5" i="7"/>
  <c r="B9" i="7" l="1"/>
  <c r="H66" i="6"/>
  <c r="H65" i="6"/>
</calcChain>
</file>

<file path=xl/sharedStrings.xml><?xml version="1.0" encoding="utf-8"?>
<sst xmlns="http://schemas.openxmlformats.org/spreadsheetml/2006/main" count="1471" uniqueCount="572">
  <si>
    <t>ФИО студента</t>
  </si>
  <si>
    <t>Уровень    ВО/СПО</t>
  </si>
  <si>
    <t>Место проживания</t>
  </si>
  <si>
    <t>ВО</t>
  </si>
  <si>
    <t>г.Белово</t>
  </si>
  <si>
    <t>Калиниченко Вадим Анатольевич</t>
  </si>
  <si>
    <t>СПО</t>
  </si>
  <si>
    <t>Ке-ДЛИ-301</t>
  </si>
  <si>
    <t>г.Тяжин</t>
  </si>
  <si>
    <t>г.Юрга</t>
  </si>
  <si>
    <t>г.Анжеро-Судженск</t>
  </si>
  <si>
    <t>г.Ленинск-Кузнецкий</t>
  </si>
  <si>
    <t>Добрынин Иван Иванович</t>
  </si>
  <si>
    <t>Ке-ДЛП-401</t>
  </si>
  <si>
    <t>п.Краснобродский, Беловский р-н</t>
  </si>
  <si>
    <t>сирота</t>
  </si>
  <si>
    <t>г.Березовский</t>
  </si>
  <si>
    <t>Авхимович Никита Александрович</t>
  </si>
  <si>
    <t>Ке-ДЛА-301</t>
  </si>
  <si>
    <t>Карташев Евгений Андреевич</t>
  </si>
  <si>
    <t>мал.30.09.16</t>
  </si>
  <si>
    <t>пгт.Итатский, Тяжин.р-н</t>
  </si>
  <si>
    <t>Козубцев Иван Николаевич</t>
  </si>
  <si>
    <t>Ке-ДЛИ-402</t>
  </si>
  <si>
    <t>пгт.Яя</t>
  </si>
  <si>
    <t>Тензин Игорь Ильич</t>
  </si>
  <si>
    <t>г.Киселевск</t>
  </si>
  <si>
    <t>Езан Никита Евгеньевич</t>
  </si>
  <si>
    <t>г.Кемерово</t>
  </si>
  <si>
    <t>Матюшенко Артем Алексеевич</t>
  </si>
  <si>
    <t>КОМК</t>
  </si>
  <si>
    <t>Горских Дмитрий Юрьевич</t>
  </si>
  <si>
    <t>пгт.Промышленная</t>
  </si>
  <si>
    <t>г.Гурьевск</t>
  </si>
  <si>
    <t>Ке-ДЛП-502</t>
  </si>
  <si>
    <t>г.Полысаево</t>
  </si>
  <si>
    <t>Пронкевич Дмитрий Павлович</t>
  </si>
  <si>
    <t>Ке-ДЛИ-501</t>
  </si>
  <si>
    <t>пгт.Ижморский</t>
  </si>
  <si>
    <t>Раматшоев Эроншо Наврузшоевич</t>
  </si>
  <si>
    <t>г.Кемерово (дядя)</t>
  </si>
  <si>
    <t>Гаврилкин Данил Александрович</t>
  </si>
  <si>
    <t>п.Плотниковский, Крапивинский р-н</t>
  </si>
  <si>
    <t>Лай Евгений Васильевич</t>
  </si>
  <si>
    <t>Ке-ДЛД-401</t>
  </si>
  <si>
    <t>Пукке Лев Янович</t>
  </si>
  <si>
    <t>Комаров Михаил Дмитриевич</t>
  </si>
  <si>
    <t>Ке-ДЛЭ-502</t>
  </si>
  <si>
    <t>Нерсесян Мисак Аветикович</t>
  </si>
  <si>
    <t>с.Банново, Крапивинский р-н</t>
  </si>
  <si>
    <t>Елисеев Владислав Викторович</t>
  </si>
  <si>
    <t>Ке-ДЛИ-401</t>
  </si>
  <si>
    <t>с.Кабаново, Крапивинский р-н</t>
  </si>
  <si>
    <t>Пацуло Максим Дмитриевич</t>
  </si>
  <si>
    <t>с.Алчедат, Чебулинский р-н</t>
  </si>
  <si>
    <t>Ке-ДЛА-501</t>
  </si>
  <si>
    <t>Архипенко Дмитрий Леонидович</t>
  </si>
  <si>
    <t>пгт.Итатский</t>
  </si>
  <si>
    <t>Грибоедов Александр Юрьевич</t>
  </si>
  <si>
    <t>д.Марьевка, Яйский р-н</t>
  </si>
  <si>
    <t>Загуменный Даниил Игоревич</t>
  </si>
  <si>
    <t>д.Листвянка, Тисульский р-н</t>
  </si>
  <si>
    <t>Ягин Геннадий Сергеевич</t>
  </si>
  <si>
    <t>Цион Валерий Александрович</t>
  </si>
  <si>
    <t>д.Постниково</t>
  </si>
  <si>
    <t>Ларионов Никита Юрьевич</t>
  </si>
  <si>
    <t>Халаимов Максим Игоревич</t>
  </si>
  <si>
    <t>Гильдеев Вильдан Айратович</t>
  </si>
  <si>
    <t>Тисульский р-он, с.Серебряково</t>
  </si>
  <si>
    <t>Мигеев Дмитрий Сергевич</t>
  </si>
  <si>
    <t>Ке-ДЛИ-502</t>
  </si>
  <si>
    <t>Пром. р-н, с.Окунево</t>
  </si>
  <si>
    <t>Головнин Кирилл Олегович</t>
  </si>
  <si>
    <t>г.Топки</t>
  </si>
  <si>
    <t>Трошин Виталий Владимирович</t>
  </si>
  <si>
    <t>пгт.Тисуль</t>
  </si>
  <si>
    <t>Николаев Сергей Павлович</t>
  </si>
  <si>
    <t>Лесозавод, Мариинск</t>
  </si>
  <si>
    <t>Пульман Дмитрий Сергеевич</t>
  </si>
  <si>
    <t>с.Новопестерово, Гурьевский р-н</t>
  </si>
  <si>
    <t>Седов Кирилл Васильевич</t>
  </si>
  <si>
    <t>Ке-ДЛП-501</t>
  </si>
  <si>
    <t>Топкинский р-н, п. Мокроусовский</t>
  </si>
  <si>
    <t>Гоев Игорь Андреевич</t>
  </si>
  <si>
    <t>пгт.Яшкино</t>
  </si>
  <si>
    <t>Бабин Вячеслав Васильевич</t>
  </si>
  <si>
    <t>Буценко Валентин Александрович</t>
  </si>
  <si>
    <t>Оплата</t>
  </si>
  <si>
    <t>Группа, курс</t>
  </si>
  <si>
    <t>Прим., льгота</t>
  </si>
  <si>
    <t>№ комн.</t>
  </si>
  <si>
    <t>Списки на вселение в общежитие №2 на 2016/2017 уч.г</t>
  </si>
  <si>
    <t>224/1</t>
  </si>
  <si>
    <t>Бутынцева Алина Евгеньевна</t>
  </si>
  <si>
    <t>г.Маринск</t>
  </si>
  <si>
    <t>Линк Ирина Олеговна</t>
  </si>
  <si>
    <t>Голикова Мария Сергеевна</t>
  </si>
  <si>
    <t>Ке-ДЛЭ-501</t>
  </si>
  <si>
    <t>Дьяконова Елизавета Вячеславовна</t>
  </si>
  <si>
    <t>г.Белово, пгт.Новый городок</t>
  </si>
  <si>
    <t>Шмакова Юлия Евгеньевна</t>
  </si>
  <si>
    <t>Гурьевский р-н, п.Урск</t>
  </si>
  <si>
    <t>Терешко Екатерина Андреевна</t>
  </si>
  <si>
    <t>мал.31.01.17</t>
  </si>
  <si>
    <t>с.Тисуль</t>
  </si>
  <si>
    <t>Евстигнеева Екатерина Владимировна</t>
  </si>
  <si>
    <t>Татаренко Юлия Константиновна</t>
  </si>
  <si>
    <t>Он-Фанси Татьяна Николаевна</t>
  </si>
  <si>
    <t>Таштагольский р-он, пгт.Темиртау</t>
  </si>
  <si>
    <t>Фролова Екатерина Васильевна</t>
  </si>
  <si>
    <t>Жупикова Валерия Викторовна</t>
  </si>
  <si>
    <t>Евдокимова Маргарита Сергеевна</t>
  </si>
  <si>
    <t>Крупко Екатерина Николаевна</t>
  </si>
  <si>
    <t>Гортэ Татьяна Андреевна</t>
  </si>
  <si>
    <t>г.Прокопьевск</t>
  </si>
  <si>
    <t>Голубева Ксения Вячеславовна</t>
  </si>
  <si>
    <t>Мироманова Ксения Александровна</t>
  </si>
  <si>
    <t>Монгуш Буяна Мергеновна</t>
  </si>
  <si>
    <t>Рес.Тыва, с.Суг-Аксы</t>
  </si>
  <si>
    <t>Патрышева Ольга Сергеевна</t>
  </si>
  <si>
    <t>Гореева Эльвира Фаильевна</t>
  </si>
  <si>
    <t>г.Мариинск</t>
  </si>
  <si>
    <t>Дубровская Яна Алексеевна</t>
  </si>
  <si>
    <t>Ке-ДЛЭ-401</t>
  </si>
  <si>
    <t>с.Черемичкино, Топкинский р-н</t>
  </si>
  <si>
    <t>Заостровцева Алена Андреевна</t>
  </si>
  <si>
    <t>с.Ягуново</t>
  </si>
  <si>
    <t>Захваткина Надежда Александровна</t>
  </si>
  <si>
    <t>Котенко Екатерина Константиновна</t>
  </si>
  <si>
    <t>Гагарина Ирина Юрьевна</t>
  </si>
  <si>
    <t>Крапивинский р-н</t>
  </si>
  <si>
    <t>Сиденко Вероника Алексеевна</t>
  </si>
  <si>
    <t>г.Белово, пгт.Бачатский</t>
  </si>
  <si>
    <t>Васильева Анна Евгеньевна</t>
  </si>
  <si>
    <t>Корякина Юлия Сергеевна</t>
  </si>
  <si>
    <t>Маношкина Ксения Евгеньевна</t>
  </si>
  <si>
    <t>Панфилова Ирина Евгеньевна</t>
  </si>
  <si>
    <t>Черненко Анастасия Алексеевна</t>
  </si>
  <si>
    <t>Шальнова Виктория Вячеславовна</t>
  </si>
  <si>
    <t>Тырышкина Екатерина Сергеевна</t>
  </si>
  <si>
    <t>Мишоливская Анастасия Игоревна</t>
  </si>
  <si>
    <t>Петрова Анастасия Александровна</t>
  </si>
  <si>
    <t>пос.Плотниково, Промышлен.р-н</t>
  </si>
  <si>
    <t>Ильина Анна Федоровна</t>
  </si>
  <si>
    <t>Морозова Марина Владимировна</t>
  </si>
  <si>
    <t>Шаповалова Яна Андреевна</t>
  </si>
  <si>
    <t>Тятяйкина Анна Сергеевна</t>
  </si>
  <si>
    <t>Кукишева Алена Олеговна</t>
  </si>
  <si>
    <t>Князева Надежда Сергеевна</t>
  </si>
  <si>
    <t>Журавкова Екатерина Вадимовна</t>
  </si>
  <si>
    <t>Левкина Анастасия Игоревна</t>
  </si>
  <si>
    <t>Малышева Кристина Владимировна</t>
  </si>
  <si>
    <t>Домникова Ксения Алексеевна</t>
  </si>
  <si>
    <t>детский дом №2 г.Кемерово</t>
  </si>
  <si>
    <t xml:space="preserve">Беккер Анастасия Викторовна </t>
  </si>
  <si>
    <t>г.Заринск</t>
  </si>
  <si>
    <t>Дульянинова Виктория Юрьевна</t>
  </si>
  <si>
    <t>Кухарчук Анна Евгеньевна</t>
  </si>
  <si>
    <t>пгт. Промышленная</t>
  </si>
  <si>
    <t>Нечаева Инна Владимировна</t>
  </si>
  <si>
    <t>Якутова Ольга Валерьевна</t>
  </si>
  <si>
    <t>Битюцкая Анастасия Анатольевна</t>
  </si>
  <si>
    <t>Андриевская Ирина Игоревна</t>
  </si>
  <si>
    <t>Юрченко Ксения Сергеевна</t>
  </si>
  <si>
    <t>Воронкова Наталья Сергеевна</t>
  </si>
  <si>
    <t>Коробейникова Анастасия Олеговна</t>
  </si>
  <si>
    <t>Аврова Кристина Евгеньевна</t>
  </si>
  <si>
    <t>Подлужная Марина Сергеевна</t>
  </si>
  <si>
    <t>пгт.Крапивинский</t>
  </si>
  <si>
    <t>Боровкова Екатерина Михайловна</t>
  </si>
  <si>
    <t>Советова Валентина Николаевна</t>
  </si>
  <si>
    <t>Волошина Полина Анатольевна</t>
  </si>
  <si>
    <t>г.Тагучин</t>
  </si>
  <si>
    <t>Ерошенко Татьяна  Алексеевна</t>
  </si>
  <si>
    <t>Хнуева Светлана Александровна</t>
  </si>
  <si>
    <t>Сафонова Елена Сергеевна</t>
  </si>
  <si>
    <t>Чвора Алина Андреевна</t>
  </si>
  <si>
    <t>с.Поломошино</t>
  </si>
  <si>
    <t>Евченко Мария Александровна</t>
  </si>
  <si>
    <t>Соловьева Ольга Андреевна</t>
  </si>
  <si>
    <t>Мовсарова Мадина Мухмадовна</t>
  </si>
  <si>
    <t>Темникова Оксана Юрьевна</t>
  </si>
  <si>
    <t>г.Таштагол</t>
  </si>
  <si>
    <t>Носкова Виктория Олеговна</t>
  </si>
  <si>
    <t>Масонина Елизавета Олеговна</t>
  </si>
  <si>
    <t>Большакова Кристина Дмитриевна</t>
  </si>
  <si>
    <t>Форова Татьяна Сергеевна</t>
  </si>
  <si>
    <t>Грецкая Светлана Владимировна</t>
  </si>
  <si>
    <t>30.08./3000</t>
  </si>
  <si>
    <t>з/р</t>
  </si>
  <si>
    <t>30.08./6000</t>
  </si>
  <si>
    <t>Земский Никита Анатольевич</t>
  </si>
  <si>
    <t>ПИ</t>
  </si>
  <si>
    <t>29.08./6000</t>
  </si>
  <si>
    <t>Золотов Александр Александрович</t>
  </si>
  <si>
    <t>КС</t>
  </si>
  <si>
    <t>26.08./6000</t>
  </si>
  <si>
    <t>ПС</t>
  </si>
  <si>
    <t>Пром.р-н, с.Окунево</t>
  </si>
  <si>
    <t>27.08./6000</t>
  </si>
  <si>
    <t>Савин Александр Александрович</t>
  </si>
  <si>
    <t>Кивишев Никита Николаевич</t>
  </si>
  <si>
    <t>Пром. Р-н , с.Ваганово</t>
  </si>
  <si>
    <t>Андросов Никита Андреевич</t>
  </si>
  <si>
    <t>Измайлов Илья Константинович</t>
  </si>
  <si>
    <t>Прокудин Кирилл Александрович</t>
  </si>
  <si>
    <t>Кустов Михаил Алексевич</t>
  </si>
  <si>
    <t>Новиков Даниил Дмитриевич</t>
  </si>
  <si>
    <t>Лен.-Кузн.р-н, с.Панфилово</t>
  </si>
  <si>
    <t>16.08./3000</t>
  </si>
  <si>
    <t>11.08./3000 30.08./3000</t>
  </si>
  <si>
    <t>13.08./3000</t>
  </si>
  <si>
    <t>Кривощеков Игорь Сергеевич</t>
  </si>
  <si>
    <t>д.Мозжуха</t>
  </si>
  <si>
    <t>лицо из ч. д-с и д,о бпр 30.08. 2016</t>
  </si>
  <si>
    <t>Ермаков Артем Игоревич</t>
  </si>
  <si>
    <t>г.Тайга</t>
  </si>
  <si>
    <t>Госьков Кирилл Андреевич</t>
  </si>
  <si>
    <t>Боровик Никита Евгеньевич</t>
  </si>
  <si>
    <t>БУ</t>
  </si>
  <si>
    <t>Киселев Данил Андреевич</t>
  </si>
  <si>
    <t>ЮР</t>
  </si>
  <si>
    <t>Рубаха Евгений Вячеславович</t>
  </si>
  <si>
    <t>Гаврилов Даниил Геннадьевич</t>
  </si>
  <si>
    <t>25.08./6000</t>
  </si>
  <si>
    <t>Стрельцов Никита Витальевич</t>
  </si>
  <si>
    <t>Бабиков Валерий Анатольевич</t>
  </si>
  <si>
    <t>г.Ленинск-Кузнецкий, с.Панфилово</t>
  </si>
  <si>
    <t>реб-инв , До 19.12.2017</t>
  </si>
  <si>
    <t>Лындин Сергей Авлександрович</t>
  </si>
  <si>
    <t>Куулар Анчы-Кара Арсланович</t>
  </si>
  <si>
    <t>респ.Тыва, Сут-Хольский р-н, с.Суг-Аксы</t>
  </si>
  <si>
    <t>Богданов Владислав Игоревич</t>
  </si>
  <si>
    <t>27.08./3000 29.08./3000</t>
  </si>
  <si>
    <t>Булгаков Иван Александрович</t>
  </si>
  <si>
    <t>23.08./6000</t>
  </si>
  <si>
    <t>17.08./6000</t>
  </si>
  <si>
    <t>Бидеева Кристина Владимировна</t>
  </si>
  <si>
    <t>г.Марииск</t>
  </si>
  <si>
    <t>мат.кап.30,09</t>
  </si>
  <si>
    <t>Васильева Татьяна Александровна</t>
  </si>
  <si>
    <t>30.08./1500</t>
  </si>
  <si>
    <t>мал. 30.11.16</t>
  </si>
  <si>
    <t>Зимина Полина Дмитриевна</t>
  </si>
  <si>
    <t>24.08./6000</t>
  </si>
  <si>
    <t>20.08./6000</t>
  </si>
  <si>
    <t>Позднякова Мария Сергеевна</t>
  </si>
  <si>
    <t>Мариинский р-н, с.Суслово</t>
  </si>
  <si>
    <t>мал.24.01.17</t>
  </si>
  <si>
    <t>29.08./3000</t>
  </si>
  <si>
    <t>31.08./3000</t>
  </si>
  <si>
    <t>23.08./3000</t>
  </si>
  <si>
    <t>Пивоварова Екатерина Анатольевна</t>
  </si>
  <si>
    <t>Т</t>
  </si>
  <si>
    <t>Чертова Анастасия Евгеньевна</t>
  </si>
  <si>
    <t>Гомзякова Наталья Николаевна</t>
  </si>
  <si>
    <t>Топкинский р-н, с. Глубокое</t>
  </si>
  <si>
    <t>Фролова Елена Евгеньевна</t>
  </si>
  <si>
    <t>Кривошеева Мария Владимировна</t>
  </si>
  <si>
    <t>Соколкина Анастасия Дмитриевна</t>
  </si>
  <si>
    <t>д.Усть-Хмелевка</t>
  </si>
  <si>
    <t>Ооржак Анай-Хаак Романовна</t>
  </si>
  <si>
    <t>мал.от 01.07.16</t>
  </si>
  <si>
    <t>Севостьянова Екатерина Сергеевна</t>
  </si>
  <si>
    <t>29.08./3300</t>
  </si>
  <si>
    <t>Кандаурова Алёна Сергеевна</t>
  </si>
  <si>
    <t>Топкинский р-н, с. Усть-Сосновка</t>
  </si>
  <si>
    <t>26.08./3000</t>
  </si>
  <si>
    <t>Борисова Анастасия Григорьевна</t>
  </si>
  <si>
    <t>К</t>
  </si>
  <si>
    <t>Пенкина Алина Андреевна</t>
  </si>
  <si>
    <t>Тенц Евгения Юрьевна</t>
  </si>
  <si>
    <t>Топкинский р-н, пос.Трещевский</t>
  </si>
  <si>
    <t>Славко Анна Сергеевна</t>
  </si>
  <si>
    <t>Пром.р-н, с.Тарасово</t>
  </si>
  <si>
    <t>29.08./2000</t>
  </si>
  <si>
    <t>Мурасова Жанна Евгеньевна</t>
  </si>
  <si>
    <t>Маркина Екатерина Андреевна</t>
  </si>
  <si>
    <t>Быкова Любовь Владимировна</t>
  </si>
  <si>
    <t>Брюзгина Анна Николаевна</t>
  </si>
  <si>
    <t>30.08./3600</t>
  </si>
  <si>
    <t>з/р, мал.до15.08.17</t>
  </si>
  <si>
    <t>Волкова Екатерина Сергеевна</t>
  </si>
  <si>
    <t>г.Салаир</t>
  </si>
  <si>
    <t>Пастушкова Энисса Ибрагимовна</t>
  </si>
  <si>
    <t>Чебулинский р-н, д.Курск-Смоленка</t>
  </si>
  <si>
    <t>18.08./3000 29.08./3000</t>
  </si>
  <si>
    <t>Лукьянова Адриана Викторовна</t>
  </si>
  <si>
    <t>Яшкинский р-н, п.Шахтер</t>
  </si>
  <si>
    <t>личд-сид,обпр от 25.08.2016</t>
  </si>
  <si>
    <t>личд-сид,обпр от 29.08.16</t>
  </si>
  <si>
    <t>Пантелеева Анастасия Андреевна</t>
  </si>
  <si>
    <t>29.08./6600</t>
  </si>
  <si>
    <t>перепл.600р</t>
  </si>
  <si>
    <t>Кужлева Наталья Валерьевна</t>
  </si>
  <si>
    <t>31.08./6000</t>
  </si>
  <si>
    <t>Медведева Светлана Александровна</t>
  </si>
  <si>
    <t>Прок.р-н, д.Лукьяновка</t>
  </si>
  <si>
    <t>Могилевская Валерия Сергеевна</t>
  </si>
  <si>
    <t>за обуч.</t>
  </si>
  <si>
    <t>Москвина Ольга Александровна</t>
  </si>
  <si>
    <t>реб-инв. до 26.04.18</t>
  </si>
  <si>
    <t>Мухарева Алена Андреевна</t>
  </si>
  <si>
    <t>Корчуганова Елена Витальевна</t>
  </si>
  <si>
    <t>Куц Елизавета Сергеевна</t>
  </si>
  <si>
    <t>мал.от 16.06.16</t>
  </si>
  <si>
    <t>16.08./6000</t>
  </si>
  <si>
    <t>Крафт Наталья Николаевна</t>
  </si>
  <si>
    <t>СЭ-141</t>
  </si>
  <si>
    <t xml:space="preserve"> ЭБ-143</t>
  </si>
  <si>
    <t xml:space="preserve"> БД-143</t>
  </si>
  <si>
    <t>БЮ-141</t>
  </si>
  <si>
    <t xml:space="preserve"> СП-142</t>
  </si>
  <si>
    <t>Новиков Михаил Игоревич</t>
  </si>
  <si>
    <t>25.08./3000</t>
  </si>
  <si>
    <t>Перковский Максим Юрьевич</t>
  </si>
  <si>
    <t>Сафронов Юрий Витальевич</t>
  </si>
  <si>
    <t>Новиков Александр Александрович</t>
  </si>
  <si>
    <t>Суван Артыш Буянович</t>
  </si>
  <si>
    <t>31.08./3000 01.09./3000</t>
  </si>
  <si>
    <t>01.09./1500</t>
  </si>
  <si>
    <t>з/р, мал.30.11.16</t>
  </si>
  <si>
    <t>12.01./3000</t>
  </si>
  <si>
    <t>мал.30.05.17</t>
  </si>
  <si>
    <t>Киремецкий Константин Николаевич</t>
  </si>
  <si>
    <t>инв с дет, бесср</t>
  </si>
  <si>
    <t>31.08./1200</t>
  </si>
  <si>
    <t>01.09./6000</t>
  </si>
  <si>
    <t>Александров Александр Владимирович</t>
  </si>
  <si>
    <t>г.Междуреченск</t>
  </si>
  <si>
    <t>02.09./1200</t>
  </si>
  <si>
    <t>Тыва</t>
  </si>
  <si>
    <t>Раджабова Зарина Тахировна</t>
  </si>
  <si>
    <t>Таргаева Елена Александровна</t>
  </si>
  <si>
    <t>Вельш Анастасия Сергеевна</t>
  </si>
  <si>
    <t>Крапивинский р-н , с.Борисово</t>
  </si>
  <si>
    <t>КОККИ</t>
  </si>
  <si>
    <t>Атяшева Алина Адиловна</t>
  </si>
  <si>
    <t>г.Новосибирск</t>
  </si>
  <si>
    <t>01.09./1200</t>
  </si>
  <si>
    <t>Бобринева Виктория Романовна</t>
  </si>
  <si>
    <t>31.08./7200</t>
  </si>
  <si>
    <t>Елфимова Анна Викторовна</t>
  </si>
  <si>
    <t>Нар.Пром.</t>
  </si>
  <si>
    <t>30.08./6000 1200</t>
  </si>
  <si>
    <t>Иванова Анна Петровна</t>
  </si>
  <si>
    <t>02.09/1200</t>
  </si>
  <si>
    <t>Цыганцева Анастасия Александровна</t>
  </si>
  <si>
    <t>Титова Вероника Сергеевна</t>
  </si>
  <si>
    <t>Лапутина Евгения Юрьевна</t>
  </si>
  <si>
    <t>с.Борисово</t>
  </si>
  <si>
    <t>Ефименко Светлана Олеговна</t>
  </si>
  <si>
    <t>п.Барзас</t>
  </si>
  <si>
    <t>Грузина Елена Андреевна</t>
  </si>
  <si>
    <t>Стригунова Алена Анатольевна</t>
  </si>
  <si>
    <t>п.Тяжин</t>
  </si>
  <si>
    <t>Узбекова Алина Александровна</t>
  </si>
  <si>
    <t>Ижморский р-н</t>
  </si>
  <si>
    <t>Штепа Юлия Андреевна</t>
  </si>
  <si>
    <t>п.Краснобродский</t>
  </si>
  <si>
    <t>31.08/3300</t>
  </si>
  <si>
    <t>31.08/3000</t>
  </si>
  <si>
    <t>30.08/6000</t>
  </si>
  <si>
    <t>Абдрахманова Алсу Рахимзянова</t>
  </si>
  <si>
    <t>МЭ-137</t>
  </si>
  <si>
    <t>31.08/5700</t>
  </si>
  <si>
    <t>0</t>
  </si>
  <si>
    <t>31.08/6000</t>
  </si>
  <si>
    <t>29.08/6000</t>
  </si>
  <si>
    <t>Катанакова Ксения Алексеевна</t>
  </si>
  <si>
    <t>20.08/6000</t>
  </si>
  <si>
    <t>30.08/3000</t>
  </si>
  <si>
    <t>29.08/3000</t>
  </si>
  <si>
    <t>Поваренкина Екатерина Евгеньевна</t>
  </si>
  <si>
    <t>01.09/6000</t>
  </si>
  <si>
    <t>Девятиярова Анна Сергеевна</t>
  </si>
  <si>
    <t>Колокольцова Марина Андреевна</t>
  </si>
  <si>
    <t>25.08/6000</t>
  </si>
  <si>
    <t>Дата рождения</t>
  </si>
  <si>
    <t>Договор</t>
  </si>
  <si>
    <t>Основа</t>
  </si>
  <si>
    <t>Б</t>
  </si>
  <si>
    <t>ПС-162</t>
  </si>
  <si>
    <t>ИС-161</t>
  </si>
  <si>
    <t>Шмакова Анастасия Викторовна</t>
  </si>
  <si>
    <t>К-161</t>
  </si>
  <si>
    <t>чд-с от 28.08.2016</t>
  </si>
  <si>
    <t>ПИ-162</t>
  </si>
  <si>
    <t>ИС-162</t>
  </si>
  <si>
    <t>ПС-161</t>
  </si>
  <si>
    <t>БУ-161</t>
  </si>
  <si>
    <t>КС-161</t>
  </si>
  <si>
    <t>ПИ-161</t>
  </si>
  <si>
    <t>Т-161</t>
  </si>
  <si>
    <t>КС-162</t>
  </si>
  <si>
    <t>СЭ-151</t>
  </si>
  <si>
    <t>Сундуй Чай-Суу Анчы-ооловна</t>
  </si>
  <si>
    <t>СП-141</t>
  </si>
  <si>
    <t>БУ-162</t>
  </si>
  <si>
    <t>Полтавский Денис Олегович</t>
  </si>
  <si>
    <t xml:space="preserve"> СП-152</t>
  </si>
  <si>
    <t>ПИ-138</t>
  </si>
  <si>
    <t>инв с дет., 2 гр.01.03.2017</t>
  </si>
  <si>
    <t>БЮ-161</t>
  </si>
  <si>
    <t>Бугай Наталья Александровна</t>
  </si>
  <si>
    <t>ЭБ-123</t>
  </si>
  <si>
    <t>МО-134</t>
  </si>
  <si>
    <t>ЭБ</t>
  </si>
  <si>
    <t>УП-144</t>
  </si>
  <si>
    <t>личд-сид,обпр</t>
  </si>
  <si>
    <t>Федорчук Леонид Дмитриевич</t>
  </si>
  <si>
    <t>Ке-ДЛА-401</t>
  </si>
  <si>
    <t>Ооржак Ай-Инка Алексеевна</t>
  </si>
  <si>
    <t>Красноярский кр, с.Каратузское</t>
  </si>
  <si>
    <t>Медянкина Кристина Константиновна</t>
  </si>
  <si>
    <t>КузТАГиС</t>
  </si>
  <si>
    <t>МЭ-144</t>
  </si>
  <si>
    <t>МО-141</t>
  </si>
  <si>
    <t xml:space="preserve"> МО-141</t>
  </si>
  <si>
    <t>ЭБ-142</t>
  </si>
  <si>
    <t>СП-151</t>
  </si>
  <si>
    <t>ФК-142</t>
  </si>
  <si>
    <t>МН-143</t>
  </si>
  <si>
    <t>ЭБ-122</t>
  </si>
  <si>
    <t>ЭБ-121</t>
  </si>
  <si>
    <t>БЮ-142</t>
  </si>
  <si>
    <t>ЭБ-143</t>
  </si>
  <si>
    <t>ЭУ-142</t>
  </si>
  <si>
    <t>БМ-15</t>
  </si>
  <si>
    <t>Пашкевич Александр Андреевич</t>
  </si>
  <si>
    <t>09.09/1500</t>
  </si>
  <si>
    <t>мал.до 04.06.17</t>
  </si>
  <si>
    <t>Гаюров Исломуддин Роибович</t>
  </si>
  <si>
    <t>08.09./6000</t>
  </si>
  <si>
    <t>ХП-14</t>
  </si>
  <si>
    <t>ХТН-12</t>
  </si>
  <si>
    <t>МС-161д</t>
  </si>
  <si>
    <t>МС-165д</t>
  </si>
  <si>
    <t>МЛТ-161д</t>
  </si>
  <si>
    <t>Бараан Оюнмаа Артышовна</t>
  </si>
  <si>
    <t>МС-161</t>
  </si>
  <si>
    <t>Кирьякова Олеся Витальевна</t>
  </si>
  <si>
    <t>ХТ-22</t>
  </si>
  <si>
    <t>Пром.р-н, п.Октябрьский</t>
  </si>
  <si>
    <t>БД-11</t>
  </si>
  <si>
    <t>Чебулинский р-н, д.Орлово-Розово</t>
  </si>
  <si>
    <t>Писаренко Анастасия Александровна</t>
  </si>
  <si>
    <t>МС-141</t>
  </si>
  <si>
    <t>Чебулинский р-н, Пос 1-й</t>
  </si>
  <si>
    <t>г.Новокузнецк</t>
  </si>
  <si>
    <t>ЗТ-101</t>
  </si>
  <si>
    <t>п.Майзас</t>
  </si>
  <si>
    <t>юв 13-15</t>
  </si>
  <si>
    <t>ФШ-141</t>
  </si>
  <si>
    <t>Пантюхина Юлия Павловна</t>
  </si>
  <si>
    <t>Помогаев Виктор Андреевич</t>
  </si>
  <si>
    <t>МС-144д</t>
  </si>
  <si>
    <t>Чебулинский р-н, с.Усть-Серта</t>
  </si>
  <si>
    <t>02.09./6000</t>
  </si>
  <si>
    <t>06.09/1200</t>
  </si>
  <si>
    <t>30.08./1500 01.09/4500</t>
  </si>
  <si>
    <t>07.09/</t>
  </si>
  <si>
    <t>29.08//3000</t>
  </si>
  <si>
    <t>02.09/6000</t>
  </si>
  <si>
    <t>29.09/6000</t>
  </si>
  <si>
    <t>ЗТ-162</t>
  </si>
  <si>
    <t>п.Смирновский</t>
  </si>
  <si>
    <t>12.09/1200</t>
  </si>
  <si>
    <t>Андреева Татьяна Сергеевна</t>
  </si>
  <si>
    <t>Коваленко Алена Сергеевна</t>
  </si>
  <si>
    <t>09.09/1200</t>
  </si>
  <si>
    <t>Кадашникова Диана Евгеньевна</t>
  </si>
  <si>
    <t>Селиванова Олеся Евгеньевна</t>
  </si>
  <si>
    <t>МС-134д</t>
  </si>
  <si>
    <t>п.Тисуль</t>
  </si>
  <si>
    <t>17.09/1200</t>
  </si>
  <si>
    <t>мал.01.10-31.08</t>
  </si>
  <si>
    <t>Пергамент Анжелина Араратовна</t>
  </si>
  <si>
    <t>ХТС-12</t>
  </si>
  <si>
    <t>21.09/320</t>
  </si>
  <si>
    <t>Балакирева Алена Сергеевна</t>
  </si>
  <si>
    <t>Зеленцова Ксения Сергеевна</t>
  </si>
  <si>
    <t>БД-21</t>
  </si>
  <si>
    <t>21.09/1200</t>
  </si>
  <si>
    <t>Нажмединова Ангелина Рафаилевна</t>
  </si>
  <si>
    <t>Василенков Николай Васильевич</t>
  </si>
  <si>
    <t>ПТП-17</t>
  </si>
  <si>
    <t>личд-с</t>
  </si>
  <si>
    <t>Всего</t>
  </si>
  <si>
    <t>РЭУ СПО</t>
  </si>
  <si>
    <t>РЭУ ВО</t>
  </si>
  <si>
    <t>ГУНП</t>
  </si>
  <si>
    <t>Этаж</t>
  </si>
  <si>
    <t>Итого</t>
  </si>
  <si>
    <t>2 (девушки)</t>
  </si>
  <si>
    <t>4 (девушки)</t>
  </si>
  <si>
    <t>5 (девушки)</t>
  </si>
  <si>
    <t>3 (парни)</t>
  </si>
  <si>
    <t>Несовершеннолетние</t>
  </si>
  <si>
    <t>ОБЩЕЖИТИЕ №2 Кемеровского института (филиала) РЭУ им.Г.В.Плеханова</t>
  </si>
  <si>
    <t>ОТЧЕТ на 13.10.2016</t>
  </si>
  <si>
    <t>РЭУ</t>
  </si>
  <si>
    <t>Сторон. студенты</t>
  </si>
  <si>
    <t>Проведенные мероприятия в сентябре</t>
  </si>
  <si>
    <t>Посвящение в жители общежития</t>
  </si>
  <si>
    <t>Выбор Совета общежития</t>
  </si>
  <si>
    <t>Организационное собрание с администрацией</t>
  </si>
  <si>
    <t>Проведенные мероприятия в октябре</t>
  </si>
  <si>
    <t>Поздравление с Днем пожилого человека</t>
  </si>
  <si>
    <t>Поздравление с Днем учителя</t>
  </si>
  <si>
    <t>Запланированные мероприятия в октябре</t>
  </si>
  <si>
    <t>Хэллоуин</t>
  </si>
  <si>
    <t>Турнир по футболу между общежитиями 1 и 2</t>
  </si>
  <si>
    <t>Старший воспитатель: Ковхаева Е.А.</t>
  </si>
  <si>
    <t xml:space="preserve">В настоящее время продолжается ремонт в общежитии (перестройка главного входа, </t>
  </si>
  <si>
    <t xml:space="preserve">женский и мужской душ, замена батарей ). </t>
  </si>
  <si>
    <t>Преподаватели и классные руководители посещают общежитие согласно графику.</t>
  </si>
  <si>
    <t>Тренажерный зал не функционирует, отсутствует тренер и соответствующая документация.</t>
  </si>
  <si>
    <t>Степенщикова Вера Владимировна</t>
  </si>
  <si>
    <t>г.Березовский, п.Барзас</t>
  </si>
  <si>
    <t>р-инвалид</t>
  </si>
  <si>
    <t>Носкова Олеся Ивановна</t>
  </si>
  <si>
    <t>ФШ-163</t>
  </si>
  <si>
    <t>13.10./1200</t>
  </si>
  <si>
    <t>31.08./1000+2000</t>
  </si>
  <si>
    <t>мал.13.10-12.10</t>
  </si>
  <si>
    <t>Штукин Кирилл Александрович</t>
  </si>
  <si>
    <t>Дудышева Анжелика Андреевна</t>
  </si>
  <si>
    <t>Кунгурцева Алина Викторовна</t>
  </si>
  <si>
    <t>Тимофеенко Екатерина Сергеевна</t>
  </si>
  <si>
    <t>Чернявцева Екатерина Александровна</t>
  </si>
  <si>
    <t>АК-151д</t>
  </si>
  <si>
    <t>Амирсанина Анжелика Родионовна</t>
  </si>
  <si>
    <t>Беловский р-н, с.Мениереп</t>
  </si>
  <si>
    <t>Солдатова Ксения Анатольевна</t>
  </si>
  <si>
    <t>АК-161-д</t>
  </si>
  <si>
    <t>усл.332</t>
  </si>
  <si>
    <t>усл.334</t>
  </si>
  <si>
    <t>усл.401</t>
  </si>
  <si>
    <t>усл.209</t>
  </si>
  <si>
    <t>есть</t>
  </si>
  <si>
    <t>Костин Антон Алексеевич</t>
  </si>
  <si>
    <t>Кузнецова Ксения Александровна</t>
  </si>
  <si>
    <t>Смердова Александра Константиновна</t>
  </si>
  <si>
    <t>мал.до 25.09.2017</t>
  </si>
  <si>
    <t>мал.28.11-27.11.17</t>
  </si>
  <si>
    <t>Городилов Егор Константинович</t>
  </si>
  <si>
    <t>Сафонов Артур Сергеевич</t>
  </si>
  <si>
    <t>Заднепровская Елизавета Сергеевна</t>
  </si>
  <si>
    <t>ХТН</t>
  </si>
  <si>
    <t>Щеглова Мария Сергеевна</t>
  </si>
  <si>
    <t>Котова Анастасия Александровна</t>
  </si>
  <si>
    <t>23.12/1500</t>
  </si>
  <si>
    <t>Савченко Светлана Алексеевна</t>
  </si>
  <si>
    <t>Башенкова Алина Александровна</t>
  </si>
  <si>
    <t>пос.Успенка</t>
  </si>
  <si>
    <t>Мизеркова Анастасия Сергеевна</t>
  </si>
  <si>
    <t>Экспл.</t>
  </si>
  <si>
    <t>х</t>
  </si>
  <si>
    <t>viii</t>
  </si>
  <si>
    <t>ДЛД-401</t>
  </si>
  <si>
    <t xml:space="preserve"> </t>
  </si>
  <si>
    <t>Иванченко Мария Алексеевна</t>
  </si>
  <si>
    <t>Иргит Айлана Радиковна</t>
  </si>
  <si>
    <t>ФШ-161</t>
  </si>
  <si>
    <t>14.03./3600</t>
  </si>
  <si>
    <t>Хертек Дан-Хаязы</t>
  </si>
  <si>
    <t>07.03/1200</t>
  </si>
  <si>
    <t>Ульянова Екатерина Александровна</t>
  </si>
  <si>
    <t>г. Прокопьевск</t>
  </si>
  <si>
    <t>20.03/1470</t>
  </si>
  <si>
    <t>Григорук Анна Андреевна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</si>
</sst>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6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7" fillId="0" borderId="1" xfId="0" applyFont="1" applyBorder="1"/>
    <xf numFmtId="0" fontId="1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1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top" wrapText="1"/>
    </xf>
    <xf numFmtId="0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4" fontId="12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14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top" wrapText="1"/>
    </xf>
    <xf numFmtId="14" fontId="11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2" borderId="1" xfId="0" applyFill="1" applyBorder="1"/>
    <xf numFmtId="0" fontId="6" fillId="0" borderId="1" xfId="0" applyFont="1" applyBorder="1" applyAlignment="1">
      <alignment horizont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14" fontId="11" fillId="4" borderId="1" xfId="0" applyNumberFormat="1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 wrapText="1"/>
    </xf>
    <xf numFmtId="14" fontId="11" fillId="4" borderId="1" xfId="0" applyNumberFormat="1" applyFont="1" applyFill="1" applyBorder="1" applyAlignment="1">
      <alignment horizontal="center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right" wrapText="1"/>
    </xf>
    <xf numFmtId="0" fontId="11" fillId="0" borderId="0" xfId="0" applyFont="1"/>
    <xf numFmtId="14" fontId="10" fillId="0" borderId="0" xfId="0" applyNumberFormat="1" applyFont="1" applyAlignment="1">
      <alignment horizontal="left"/>
    </xf>
    <xf numFmtId="0" fontId="11" fillId="0" borderId="0" xfId="0" applyFont="1" applyFill="1" applyBorder="1"/>
    <xf numFmtId="0" fontId="0" fillId="2" borderId="1" xfId="0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14" fontId="11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20" fillId="2" borderId="1" xfId="0" applyFont="1" applyFill="1" applyBorder="1" applyAlignment="1">
      <alignment vertical="center"/>
    </xf>
    <xf numFmtId="14" fontId="20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top" wrapText="1"/>
    </xf>
    <xf numFmtId="14" fontId="20" fillId="2" borderId="1" xfId="0" applyNumberFormat="1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14" fontId="0" fillId="2" borderId="1" xfId="0" applyNumberFormat="1" applyFill="1" applyBorder="1"/>
    <xf numFmtId="0" fontId="23" fillId="2" borderId="1" xfId="0" applyFont="1" applyFill="1" applyBorder="1"/>
    <xf numFmtId="0" fontId="15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9" fontId="15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49" fontId="24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15" fillId="2" borderId="1" xfId="0" applyFont="1" applyFill="1" applyBorder="1"/>
    <xf numFmtId="14" fontId="15" fillId="2" borderId="1" xfId="0" applyNumberFormat="1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top" wrapText="1"/>
    </xf>
    <xf numFmtId="0" fontId="23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abSelected="1" view="pageBreakPreview" zoomScale="80" zoomScaleNormal="60" zoomScaleSheetLayoutView="80" workbookViewId="0">
      <selection activeCell="P35" sqref="P35"/>
    </sheetView>
  </sheetViews>
  <sheetFormatPr defaultRowHeight="15" x14ac:dyDescent="0.25"/>
  <cols>
    <col min="1" max="1" width="6" style="67" customWidth="1"/>
    <col min="2" max="2" width="5.7109375" style="5" customWidth="1"/>
    <col min="3" max="3" width="36.5703125" style="5" customWidth="1"/>
    <col min="4" max="4" width="10.7109375" style="5" customWidth="1"/>
    <col min="5" max="5" width="7.7109375" style="21" customWidth="1"/>
    <col min="6" max="6" width="11.7109375" style="5" customWidth="1"/>
    <col min="7" max="7" width="3.5703125" style="5" customWidth="1"/>
    <col min="8" max="8" width="28.7109375" style="5" customWidth="1"/>
    <col min="9" max="9" width="10.7109375" style="5" customWidth="1"/>
    <col min="10" max="11" width="8.7109375" style="5" customWidth="1"/>
    <col min="12" max="16384" width="9.140625" style="5"/>
  </cols>
  <sheetData>
    <row r="1" spans="1:11" ht="22.5" x14ac:dyDescent="0.3">
      <c r="B1" s="118" t="s">
        <v>91</v>
      </c>
      <c r="C1" s="118"/>
      <c r="D1" s="118"/>
      <c r="E1" s="118"/>
      <c r="F1" s="118"/>
      <c r="G1" s="118"/>
      <c r="H1" s="118"/>
      <c r="I1" s="118"/>
      <c r="J1" s="119"/>
      <c r="K1" s="12"/>
    </row>
    <row r="2" spans="1:11" ht="25.5" customHeight="1" x14ac:dyDescent="0.25">
      <c r="A2" s="1" t="s">
        <v>557</v>
      </c>
      <c r="B2" s="1" t="s">
        <v>90</v>
      </c>
      <c r="C2" s="1" t="s">
        <v>0</v>
      </c>
      <c r="D2" s="1" t="s">
        <v>378</v>
      </c>
      <c r="E2" s="1" t="s">
        <v>1</v>
      </c>
      <c r="F2" s="1" t="s">
        <v>88</v>
      </c>
      <c r="G2" s="1" t="s">
        <v>380</v>
      </c>
      <c r="H2" s="1" t="s">
        <v>2</v>
      </c>
      <c r="I2" s="1" t="s">
        <v>87</v>
      </c>
      <c r="J2" s="1" t="s">
        <v>89</v>
      </c>
      <c r="K2" s="1" t="s">
        <v>379</v>
      </c>
    </row>
    <row r="3" spans="1:11" ht="12" customHeight="1" x14ac:dyDescent="0.25">
      <c r="A3" s="115" t="s">
        <v>558</v>
      </c>
      <c r="B3" s="4">
        <v>201</v>
      </c>
      <c r="C3" s="15" t="s">
        <v>334</v>
      </c>
      <c r="D3" s="17">
        <v>36055</v>
      </c>
      <c r="E3" s="6" t="s">
        <v>336</v>
      </c>
      <c r="F3" s="37" t="s">
        <v>434</v>
      </c>
      <c r="G3" s="37"/>
      <c r="H3" s="37" t="s">
        <v>335</v>
      </c>
      <c r="I3" s="37" t="s">
        <v>326</v>
      </c>
      <c r="J3" s="104"/>
      <c r="K3" s="18">
        <v>216</v>
      </c>
    </row>
    <row r="4" spans="1:11" ht="12" customHeight="1" x14ac:dyDescent="0.25">
      <c r="A4" s="117"/>
      <c r="B4" s="4">
        <v>201</v>
      </c>
      <c r="C4" s="15" t="s">
        <v>543</v>
      </c>
      <c r="D4" s="17">
        <v>36632</v>
      </c>
      <c r="E4" s="6" t="s">
        <v>336</v>
      </c>
      <c r="F4" s="37" t="s">
        <v>444</v>
      </c>
      <c r="G4" s="37"/>
      <c r="H4" s="37" t="s">
        <v>114</v>
      </c>
      <c r="I4" s="37" t="s">
        <v>326</v>
      </c>
      <c r="J4" s="104"/>
      <c r="K4" s="18">
        <v>237</v>
      </c>
    </row>
    <row r="5" spans="1:11" ht="12" customHeight="1" x14ac:dyDescent="0.25">
      <c r="A5" s="117"/>
      <c r="B5" s="4">
        <v>201</v>
      </c>
      <c r="C5" s="15" t="s">
        <v>529</v>
      </c>
      <c r="D5" s="17">
        <v>35829</v>
      </c>
      <c r="E5" s="6" t="s">
        <v>336</v>
      </c>
      <c r="F5" s="37" t="s">
        <v>434</v>
      </c>
      <c r="G5" s="37"/>
      <c r="H5" s="37" t="s">
        <v>33</v>
      </c>
      <c r="I5" s="37" t="s">
        <v>326</v>
      </c>
      <c r="J5" s="104"/>
      <c r="K5" s="18">
        <v>215</v>
      </c>
    </row>
    <row r="6" spans="1:11" ht="12" customHeight="1" x14ac:dyDescent="0.25">
      <c r="A6" s="116"/>
      <c r="B6" s="4">
        <v>201</v>
      </c>
      <c r="C6" s="61"/>
      <c r="D6" s="61"/>
      <c r="E6" s="62"/>
      <c r="F6" s="105"/>
      <c r="G6" s="105"/>
      <c r="H6" s="105"/>
      <c r="I6" s="37"/>
      <c r="J6" s="106"/>
      <c r="K6" s="60"/>
    </row>
    <row r="7" spans="1:11" ht="12" customHeight="1" x14ac:dyDescent="0.25">
      <c r="A7" s="115">
        <v>1</v>
      </c>
      <c r="B7" s="4">
        <v>202</v>
      </c>
      <c r="C7" s="15" t="s">
        <v>542</v>
      </c>
      <c r="D7" s="17">
        <v>36785</v>
      </c>
      <c r="E7" s="6" t="s">
        <v>30</v>
      </c>
      <c r="F7" s="37"/>
      <c r="G7" s="37"/>
      <c r="H7" s="37"/>
      <c r="I7" s="107">
        <v>621232</v>
      </c>
      <c r="J7" s="96"/>
      <c r="K7" s="22">
        <v>260</v>
      </c>
    </row>
    <row r="8" spans="1:11" ht="12" customHeight="1" x14ac:dyDescent="0.25">
      <c r="A8" s="116"/>
      <c r="B8" s="4">
        <v>202</v>
      </c>
      <c r="C8" s="15" t="s">
        <v>521</v>
      </c>
      <c r="D8" s="17">
        <v>35622</v>
      </c>
      <c r="E8" s="6" t="s">
        <v>30</v>
      </c>
      <c r="F8" s="37" t="s">
        <v>522</v>
      </c>
      <c r="G8" s="37"/>
      <c r="H8" s="37" t="s">
        <v>84</v>
      </c>
      <c r="I8" s="37" t="s">
        <v>523</v>
      </c>
      <c r="J8" s="96"/>
      <c r="K8" s="22">
        <v>252</v>
      </c>
    </row>
    <row r="9" spans="1:11" ht="12" customHeight="1" x14ac:dyDescent="0.25">
      <c r="A9" s="115">
        <v>19</v>
      </c>
      <c r="B9" s="4">
        <v>203</v>
      </c>
      <c r="C9" s="79" t="s">
        <v>563</v>
      </c>
      <c r="D9" s="80">
        <v>35985</v>
      </c>
      <c r="E9" s="6" t="s">
        <v>30</v>
      </c>
      <c r="F9" s="108" t="s">
        <v>564</v>
      </c>
      <c r="G9" s="81"/>
      <c r="H9" s="108" t="s">
        <v>331</v>
      </c>
      <c r="I9" s="81" t="s">
        <v>565</v>
      </c>
      <c r="J9" s="81"/>
      <c r="K9" s="59">
        <v>272</v>
      </c>
    </row>
    <row r="10" spans="1:11" ht="12" customHeight="1" x14ac:dyDescent="0.25">
      <c r="A10" s="117"/>
      <c r="B10" s="4">
        <v>203</v>
      </c>
      <c r="C10" s="15" t="s">
        <v>566</v>
      </c>
      <c r="D10" s="17">
        <v>36250</v>
      </c>
      <c r="E10" s="6" t="s">
        <v>30</v>
      </c>
      <c r="F10" s="37"/>
      <c r="G10" s="37"/>
      <c r="H10" s="37" t="s">
        <v>331</v>
      </c>
      <c r="I10" s="37" t="s">
        <v>567</v>
      </c>
      <c r="J10" s="96"/>
      <c r="K10" s="22">
        <v>271</v>
      </c>
    </row>
    <row r="11" spans="1:11" ht="12" customHeight="1" x14ac:dyDescent="0.25">
      <c r="A11" s="116"/>
      <c r="B11" s="4">
        <v>203</v>
      </c>
      <c r="C11" s="41"/>
      <c r="D11" s="41"/>
      <c r="E11" s="59"/>
      <c r="F11" s="81"/>
      <c r="G11" s="81"/>
      <c r="H11" s="81"/>
      <c r="I11" s="81"/>
      <c r="J11" s="81"/>
      <c r="K11" s="41"/>
    </row>
    <row r="12" spans="1:11" ht="12" customHeight="1" x14ac:dyDescent="0.25">
      <c r="A12" s="115">
        <v>2</v>
      </c>
      <c r="B12" s="4">
        <v>204</v>
      </c>
      <c r="C12" s="15" t="s">
        <v>439</v>
      </c>
      <c r="D12" s="17">
        <v>35435</v>
      </c>
      <c r="E12" s="6" t="s">
        <v>30</v>
      </c>
      <c r="F12" s="37" t="s">
        <v>440</v>
      </c>
      <c r="G12" s="37"/>
      <c r="H12" s="37" t="s">
        <v>331</v>
      </c>
      <c r="I12" s="37" t="s">
        <v>326</v>
      </c>
      <c r="J12" s="96"/>
      <c r="K12" s="22">
        <v>210</v>
      </c>
    </row>
    <row r="13" spans="1:11" ht="12" customHeight="1" x14ac:dyDescent="0.25">
      <c r="A13" s="116"/>
      <c r="B13" s="4">
        <v>204</v>
      </c>
      <c r="C13" s="15" t="s">
        <v>412</v>
      </c>
      <c r="D13" s="17">
        <v>35861</v>
      </c>
      <c r="E13" s="6" t="s">
        <v>343</v>
      </c>
      <c r="F13" s="37" t="s">
        <v>452</v>
      </c>
      <c r="G13" s="37"/>
      <c r="H13" s="37" t="s">
        <v>331</v>
      </c>
      <c r="I13" s="37" t="s">
        <v>344</v>
      </c>
      <c r="J13" s="96"/>
      <c r="K13" s="22">
        <v>205</v>
      </c>
    </row>
    <row r="14" spans="1:11" ht="12" customHeight="1" x14ac:dyDescent="0.25">
      <c r="A14" s="115">
        <v>20</v>
      </c>
      <c r="B14" s="4">
        <v>205</v>
      </c>
      <c r="C14" s="15" t="s">
        <v>345</v>
      </c>
      <c r="D14" s="17">
        <v>34421</v>
      </c>
      <c r="E14" s="6" t="s">
        <v>30</v>
      </c>
      <c r="F14" s="37" t="s">
        <v>453</v>
      </c>
      <c r="G14" s="37"/>
      <c r="H14" s="37" t="s">
        <v>413</v>
      </c>
      <c r="I14" s="37" t="s">
        <v>346</v>
      </c>
      <c r="J14" s="96"/>
      <c r="K14" s="22">
        <v>206</v>
      </c>
    </row>
    <row r="15" spans="1:11" ht="12" customHeight="1" x14ac:dyDescent="0.25">
      <c r="A15" s="117"/>
      <c r="B15" s="4">
        <v>205</v>
      </c>
      <c r="C15" s="15" t="s">
        <v>446</v>
      </c>
      <c r="D15" s="17">
        <v>34841</v>
      </c>
      <c r="E15" s="6" t="s">
        <v>30</v>
      </c>
      <c r="F15" s="37" t="s">
        <v>447</v>
      </c>
      <c r="G15" s="37"/>
      <c r="H15" s="37" t="s">
        <v>448</v>
      </c>
      <c r="I15" s="105" t="s">
        <v>459</v>
      </c>
      <c r="J15" s="109"/>
      <c r="K15" s="16">
        <v>217</v>
      </c>
    </row>
    <row r="16" spans="1:11" ht="12" customHeight="1" x14ac:dyDescent="0.25">
      <c r="A16" s="116"/>
      <c r="B16" s="4">
        <v>205</v>
      </c>
      <c r="C16" s="15" t="s">
        <v>571</v>
      </c>
      <c r="D16" s="17">
        <v>36272</v>
      </c>
      <c r="E16" s="6" t="s">
        <v>336</v>
      </c>
      <c r="F16" s="37" t="s">
        <v>486</v>
      </c>
      <c r="G16" s="37" t="s">
        <v>381</v>
      </c>
      <c r="H16" s="37" t="s">
        <v>114</v>
      </c>
      <c r="I16" s="107">
        <v>42856</v>
      </c>
      <c r="J16" s="96"/>
      <c r="K16" s="22">
        <v>275</v>
      </c>
    </row>
    <row r="17" spans="1:11" ht="12" customHeight="1" x14ac:dyDescent="0.25">
      <c r="A17" s="115">
        <v>3</v>
      </c>
      <c r="B17" s="4">
        <v>206</v>
      </c>
      <c r="C17" s="15" t="s">
        <v>441</v>
      </c>
      <c r="D17" s="17">
        <v>36085</v>
      </c>
      <c r="E17" s="6" t="s">
        <v>336</v>
      </c>
      <c r="F17" s="37" t="s">
        <v>442</v>
      </c>
      <c r="G17" s="37"/>
      <c r="H17" s="37" t="s">
        <v>11</v>
      </c>
      <c r="I17" s="107">
        <v>1497741</v>
      </c>
      <c r="J17" s="96"/>
      <c r="K17" s="22">
        <v>208</v>
      </c>
    </row>
    <row r="18" spans="1:11" ht="12" customHeight="1" x14ac:dyDescent="0.25">
      <c r="A18" s="116"/>
      <c r="B18" s="4">
        <v>206</v>
      </c>
      <c r="C18" s="15" t="s">
        <v>551</v>
      </c>
      <c r="D18" s="17">
        <v>36717</v>
      </c>
      <c r="E18" s="6" t="s">
        <v>30</v>
      </c>
      <c r="F18" s="37" t="s">
        <v>438</v>
      </c>
      <c r="G18" s="37"/>
      <c r="H18" s="37" t="s">
        <v>73</v>
      </c>
      <c r="I18" s="37" t="s">
        <v>552</v>
      </c>
      <c r="J18" s="96"/>
      <c r="K18" s="22">
        <v>266</v>
      </c>
    </row>
    <row r="19" spans="1:11" ht="12" customHeight="1" x14ac:dyDescent="0.25">
      <c r="A19" s="115">
        <v>21</v>
      </c>
      <c r="B19" s="4">
        <v>207</v>
      </c>
      <c r="C19" s="15" t="s">
        <v>472</v>
      </c>
      <c r="D19" s="17">
        <v>34817</v>
      </c>
      <c r="E19" s="6" t="s">
        <v>30</v>
      </c>
      <c r="F19" s="37" t="s">
        <v>473</v>
      </c>
      <c r="G19" s="37"/>
      <c r="H19" s="37" t="s">
        <v>474</v>
      </c>
      <c r="I19" s="37" t="s">
        <v>475</v>
      </c>
      <c r="J19" s="96"/>
      <c r="K19" s="22">
        <v>235</v>
      </c>
    </row>
    <row r="20" spans="1:11" ht="12" customHeight="1" x14ac:dyDescent="0.25">
      <c r="A20" s="117"/>
      <c r="B20" s="4">
        <v>207</v>
      </c>
      <c r="C20" s="15" t="s">
        <v>530</v>
      </c>
      <c r="D20" s="17">
        <v>36450</v>
      </c>
      <c r="E20" s="6" t="s">
        <v>30</v>
      </c>
      <c r="F20" s="37" t="s">
        <v>531</v>
      </c>
      <c r="G20" s="37"/>
      <c r="H20" s="37" t="s">
        <v>84</v>
      </c>
      <c r="I20" s="37" t="s">
        <v>540</v>
      </c>
      <c r="J20" s="96"/>
      <c r="K20" s="22">
        <v>258</v>
      </c>
    </row>
    <row r="21" spans="1:11" ht="12" customHeight="1" x14ac:dyDescent="0.25">
      <c r="A21" s="116"/>
      <c r="B21" s="4">
        <v>207</v>
      </c>
      <c r="C21" s="15" t="s">
        <v>534</v>
      </c>
      <c r="D21" s="17">
        <v>36821</v>
      </c>
      <c r="E21" s="6" t="s">
        <v>30</v>
      </c>
      <c r="F21" s="37" t="s">
        <v>535</v>
      </c>
      <c r="G21" s="37"/>
      <c r="H21" s="37" t="s">
        <v>84</v>
      </c>
      <c r="I21" s="37" t="s">
        <v>540</v>
      </c>
      <c r="J21" s="110"/>
      <c r="K21" s="16">
        <v>259</v>
      </c>
    </row>
    <row r="22" spans="1:11" ht="12" customHeight="1" x14ac:dyDescent="0.25">
      <c r="A22" s="115">
        <v>4</v>
      </c>
      <c r="B22" s="4">
        <v>208</v>
      </c>
      <c r="C22" s="15" t="s">
        <v>468</v>
      </c>
      <c r="D22" s="17">
        <v>36767</v>
      </c>
      <c r="E22" s="6" t="s">
        <v>30</v>
      </c>
      <c r="F22" s="37" t="s">
        <v>436</v>
      </c>
      <c r="G22" s="81"/>
      <c r="H22" s="37" t="s">
        <v>121</v>
      </c>
      <c r="I22" s="37" t="s">
        <v>470</v>
      </c>
      <c r="J22" s="81"/>
      <c r="K22" s="22">
        <v>232</v>
      </c>
    </row>
    <row r="23" spans="1:11" ht="12" customHeight="1" x14ac:dyDescent="0.25">
      <c r="A23" s="116"/>
      <c r="B23" s="4">
        <v>208</v>
      </c>
      <c r="C23" s="15" t="s">
        <v>469</v>
      </c>
      <c r="D23" s="17">
        <v>36783</v>
      </c>
      <c r="E23" s="6" t="s">
        <v>30</v>
      </c>
      <c r="F23" s="37" t="s">
        <v>436</v>
      </c>
      <c r="G23" s="37"/>
      <c r="H23" s="37" t="s">
        <v>121</v>
      </c>
      <c r="I23" s="37" t="s">
        <v>467</v>
      </c>
      <c r="J23" s="96"/>
      <c r="K23" s="22">
        <v>234</v>
      </c>
    </row>
    <row r="24" spans="1:11" ht="12" customHeight="1" x14ac:dyDescent="0.25">
      <c r="A24" s="115">
        <v>22</v>
      </c>
      <c r="B24" s="4">
        <v>209</v>
      </c>
      <c r="C24" s="15" t="s">
        <v>480</v>
      </c>
      <c r="D24" s="17">
        <v>36025</v>
      </c>
      <c r="E24" s="6" t="s">
        <v>336</v>
      </c>
      <c r="F24" s="37" t="s">
        <v>478</v>
      </c>
      <c r="G24" s="37"/>
      <c r="H24" s="37" t="s">
        <v>449</v>
      </c>
      <c r="I24" s="107">
        <v>1497760</v>
      </c>
      <c r="J24" s="110"/>
      <c r="K24" s="16">
        <v>239</v>
      </c>
    </row>
    <row r="25" spans="1:11" ht="12" customHeight="1" x14ac:dyDescent="0.25">
      <c r="A25" s="117"/>
      <c r="B25" s="4">
        <v>209</v>
      </c>
      <c r="C25" s="15" t="s">
        <v>481</v>
      </c>
      <c r="D25" s="17">
        <v>35833</v>
      </c>
      <c r="E25" s="6" t="s">
        <v>336</v>
      </c>
      <c r="F25" s="37" t="s">
        <v>482</v>
      </c>
      <c r="G25" s="37"/>
      <c r="H25" s="37" t="s">
        <v>182</v>
      </c>
      <c r="I25" s="37" t="s">
        <v>483</v>
      </c>
      <c r="J25" s="109"/>
      <c r="K25" s="16">
        <v>238</v>
      </c>
    </row>
    <row r="26" spans="1:11" ht="12" customHeight="1" x14ac:dyDescent="0.25">
      <c r="A26" s="116"/>
      <c r="B26" s="4">
        <v>209</v>
      </c>
      <c r="C26" s="15" t="s">
        <v>484</v>
      </c>
      <c r="D26" s="17">
        <v>36137</v>
      </c>
      <c r="E26" s="6" t="s">
        <v>336</v>
      </c>
      <c r="F26" s="37" t="s">
        <v>478</v>
      </c>
      <c r="G26" s="37"/>
      <c r="H26" s="37" t="s">
        <v>338</v>
      </c>
      <c r="I26" s="37" t="s">
        <v>483</v>
      </c>
      <c r="J26" s="96"/>
      <c r="K26" s="22">
        <v>236</v>
      </c>
    </row>
    <row r="27" spans="1:11" ht="12" customHeight="1" x14ac:dyDescent="0.25">
      <c r="A27" s="115">
        <v>5</v>
      </c>
      <c r="B27" s="4">
        <v>210</v>
      </c>
      <c r="C27" s="41"/>
      <c r="D27" s="41"/>
      <c r="E27" s="59"/>
      <c r="F27" s="81"/>
      <c r="G27" s="81"/>
      <c r="H27" s="81"/>
      <c r="I27" s="81"/>
      <c r="J27" s="81"/>
      <c r="K27" s="41"/>
    </row>
    <row r="28" spans="1:11" ht="12" customHeight="1" x14ac:dyDescent="0.25">
      <c r="A28" s="116"/>
      <c r="B28" s="4">
        <v>210</v>
      </c>
      <c r="C28" s="15"/>
      <c r="D28" s="15"/>
      <c r="E28" s="20"/>
      <c r="F28" s="37"/>
      <c r="G28" s="37"/>
      <c r="H28" s="37"/>
      <c r="I28" s="37"/>
      <c r="J28" s="96"/>
      <c r="K28" s="22"/>
    </row>
    <row r="29" spans="1:11" ht="12" customHeight="1" x14ac:dyDescent="0.25">
      <c r="A29" s="115">
        <v>23</v>
      </c>
      <c r="B29" s="4">
        <v>211</v>
      </c>
      <c r="C29" s="15" t="s">
        <v>532</v>
      </c>
      <c r="D29" s="17">
        <v>36599</v>
      </c>
      <c r="E29" s="6" t="s">
        <v>336</v>
      </c>
      <c r="F29" s="37" t="s">
        <v>486</v>
      </c>
      <c r="G29" s="37"/>
      <c r="H29" s="37" t="s">
        <v>533</v>
      </c>
      <c r="I29" s="37" t="s">
        <v>540</v>
      </c>
      <c r="J29" s="96"/>
      <c r="K29" s="22">
        <v>257</v>
      </c>
    </row>
    <row r="30" spans="1:11" ht="12" customHeight="1" x14ac:dyDescent="0.25">
      <c r="A30" s="117"/>
      <c r="B30" s="4">
        <v>211</v>
      </c>
      <c r="C30" s="15" t="s">
        <v>548</v>
      </c>
      <c r="D30" s="17">
        <v>36841</v>
      </c>
      <c r="E30" s="6" t="s">
        <v>336</v>
      </c>
      <c r="F30" s="37" t="s">
        <v>549</v>
      </c>
      <c r="G30" s="37"/>
      <c r="H30" s="37" t="s">
        <v>32</v>
      </c>
      <c r="I30" s="107">
        <v>182957</v>
      </c>
      <c r="J30" s="96"/>
      <c r="K30" s="22">
        <v>261</v>
      </c>
    </row>
    <row r="31" spans="1:11" ht="12" customHeight="1" x14ac:dyDescent="0.25">
      <c r="A31" s="116"/>
      <c r="B31" s="4">
        <v>211</v>
      </c>
      <c r="C31" s="15" t="s">
        <v>528</v>
      </c>
      <c r="D31" s="17">
        <v>36597</v>
      </c>
      <c r="E31" s="6" t="s">
        <v>336</v>
      </c>
      <c r="F31" s="37" t="s">
        <v>435</v>
      </c>
      <c r="G31" s="37"/>
      <c r="H31" s="37" t="s">
        <v>11</v>
      </c>
      <c r="I31" s="107">
        <v>621213</v>
      </c>
      <c r="J31" s="96"/>
      <c r="K31" s="22">
        <v>255</v>
      </c>
    </row>
    <row r="32" spans="1:11" ht="12" customHeight="1" x14ac:dyDescent="0.25">
      <c r="A32" s="115">
        <v>6</v>
      </c>
      <c r="B32" s="4">
        <v>212</v>
      </c>
      <c r="C32" s="15" t="s">
        <v>332</v>
      </c>
      <c r="D32" s="17">
        <v>36519</v>
      </c>
      <c r="E32" s="18" t="s">
        <v>6</v>
      </c>
      <c r="F32" s="37" t="s">
        <v>394</v>
      </c>
      <c r="G32" s="37" t="s">
        <v>381</v>
      </c>
      <c r="H32" s="37" t="s">
        <v>26</v>
      </c>
      <c r="I32" s="107">
        <v>1497733</v>
      </c>
      <c r="J32" s="96"/>
      <c r="K32" s="22">
        <v>85</v>
      </c>
    </row>
    <row r="33" spans="1:11" ht="12" customHeight="1" x14ac:dyDescent="0.25">
      <c r="A33" s="116"/>
      <c r="B33" s="4">
        <v>212</v>
      </c>
      <c r="C33" s="15" t="s">
        <v>333</v>
      </c>
      <c r="D33" s="17">
        <v>36769</v>
      </c>
      <c r="E33" s="18" t="s">
        <v>6</v>
      </c>
      <c r="F33" s="37" t="s">
        <v>391</v>
      </c>
      <c r="G33" s="37" t="s">
        <v>381</v>
      </c>
      <c r="H33" s="37" t="s">
        <v>26</v>
      </c>
      <c r="I33" s="107">
        <v>1497733</v>
      </c>
      <c r="J33" s="96"/>
      <c r="K33" s="22">
        <v>86</v>
      </c>
    </row>
    <row r="34" spans="1:11" ht="12" customHeight="1" x14ac:dyDescent="0.25">
      <c r="A34" s="115">
        <v>24</v>
      </c>
      <c r="B34" s="4">
        <v>213</v>
      </c>
      <c r="C34" s="15" t="s">
        <v>562</v>
      </c>
      <c r="D34" s="17">
        <v>36522</v>
      </c>
      <c r="E34" s="6" t="s">
        <v>336</v>
      </c>
      <c r="F34" s="37" t="s">
        <v>435</v>
      </c>
      <c r="G34" s="37"/>
      <c r="H34" s="37" t="s">
        <v>11</v>
      </c>
      <c r="I34" s="107">
        <v>1497528</v>
      </c>
      <c r="J34" s="110"/>
      <c r="K34" s="16">
        <v>270</v>
      </c>
    </row>
    <row r="35" spans="1:11" ht="12" customHeight="1" x14ac:dyDescent="0.25">
      <c r="A35" s="117"/>
      <c r="B35" s="4">
        <v>213</v>
      </c>
      <c r="C35" s="15"/>
      <c r="D35" s="17"/>
      <c r="E35" s="6"/>
      <c r="F35" s="37"/>
      <c r="G35" s="37"/>
      <c r="H35" s="37"/>
      <c r="I35" s="107"/>
      <c r="J35" s="96"/>
      <c r="K35" s="22"/>
    </row>
    <row r="36" spans="1:11" ht="12" customHeight="1" x14ac:dyDescent="0.25">
      <c r="A36" s="116"/>
      <c r="B36" s="4">
        <v>213</v>
      </c>
      <c r="C36" s="15"/>
      <c r="D36" s="15"/>
      <c r="E36" s="18"/>
      <c r="F36" s="37"/>
      <c r="G36" s="37"/>
      <c r="H36" s="37"/>
      <c r="I36" s="37"/>
      <c r="J36" s="96"/>
      <c r="K36" s="22"/>
    </row>
    <row r="37" spans="1:11" ht="12" customHeight="1" x14ac:dyDescent="0.25">
      <c r="A37" s="115">
        <v>7</v>
      </c>
      <c r="B37" s="4">
        <v>214</v>
      </c>
      <c r="C37" s="15" t="s">
        <v>454</v>
      </c>
      <c r="D37" s="17">
        <v>36639</v>
      </c>
      <c r="E37" s="18" t="s">
        <v>6</v>
      </c>
      <c r="F37" s="37" t="s">
        <v>389</v>
      </c>
      <c r="G37" s="37" t="s">
        <v>381</v>
      </c>
      <c r="H37" s="37" t="s">
        <v>33</v>
      </c>
      <c r="I37" s="107" t="s">
        <v>199</v>
      </c>
      <c r="J37" s="110"/>
      <c r="K37" s="16">
        <v>224</v>
      </c>
    </row>
    <row r="38" spans="1:11" ht="12" customHeight="1" x14ac:dyDescent="0.25">
      <c r="A38" s="116"/>
      <c r="B38" s="4">
        <v>214</v>
      </c>
      <c r="C38" s="15" t="s">
        <v>347</v>
      </c>
      <c r="D38" s="17">
        <v>36737</v>
      </c>
      <c r="E38" s="18" t="s">
        <v>6</v>
      </c>
      <c r="F38" s="37" t="s">
        <v>219</v>
      </c>
      <c r="G38" s="37" t="s">
        <v>381</v>
      </c>
      <c r="H38" s="37" t="s">
        <v>33</v>
      </c>
      <c r="I38" s="107">
        <v>1497736</v>
      </c>
      <c r="J38" s="110"/>
      <c r="K38" s="16">
        <v>39</v>
      </c>
    </row>
    <row r="39" spans="1:11" ht="12" customHeight="1" x14ac:dyDescent="0.25">
      <c r="A39" s="115">
        <v>25</v>
      </c>
      <c r="B39" s="4">
        <v>215</v>
      </c>
      <c r="C39" s="63" t="s">
        <v>477</v>
      </c>
      <c r="D39" s="64">
        <v>37027</v>
      </c>
      <c r="E39" s="65" t="s">
        <v>336</v>
      </c>
      <c r="F39" s="82" t="s">
        <v>478</v>
      </c>
      <c r="G39" s="82"/>
      <c r="H39" s="82" t="s">
        <v>449</v>
      </c>
      <c r="I39" s="82" t="s">
        <v>479</v>
      </c>
      <c r="J39" s="111" t="s">
        <v>539</v>
      </c>
      <c r="K39" s="47">
        <v>242</v>
      </c>
    </row>
    <row r="40" spans="1:11" ht="12" customHeight="1" x14ac:dyDescent="0.25">
      <c r="A40" s="117"/>
      <c r="B40" s="4">
        <v>215</v>
      </c>
      <c r="C40" s="41"/>
      <c r="D40" s="41"/>
      <c r="E40" s="59"/>
      <c r="F40" s="81"/>
      <c r="G40" s="81"/>
      <c r="H40" s="81"/>
      <c r="I40" s="81"/>
      <c r="J40" s="81"/>
      <c r="K40" s="41"/>
    </row>
    <row r="41" spans="1:11" ht="12" customHeight="1" x14ac:dyDescent="0.25">
      <c r="A41" s="116"/>
      <c r="B41" s="4">
        <v>215</v>
      </c>
      <c r="C41" s="15"/>
      <c r="D41" s="15"/>
      <c r="E41" s="18"/>
      <c r="F41" s="37"/>
      <c r="G41" s="37"/>
      <c r="H41" s="37"/>
      <c r="I41" s="37"/>
      <c r="J41" s="96"/>
      <c r="K41" s="22"/>
    </row>
    <row r="42" spans="1:11" ht="12" customHeight="1" x14ac:dyDescent="0.25">
      <c r="A42" s="115">
        <v>8</v>
      </c>
      <c r="B42" s="4">
        <v>216</v>
      </c>
      <c r="C42" s="15" t="s">
        <v>349</v>
      </c>
      <c r="D42" s="17">
        <v>34780</v>
      </c>
      <c r="E42" s="18" t="s">
        <v>3</v>
      </c>
      <c r="F42" s="37" t="s">
        <v>406</v>
      </c>
      <c r="G42" s="37" t="s">
        <v>381</v>
      </c>
      <c r="H42" s="37" t="s">
        <v>350</v>
      </c>
      <c r="I42" s="37">
        <v>0</v>
      </c>
      <c r="J42" s="96" t="s">
        <v>409</v>
      </c>
      <c r="K42" s="22">
        <v>203</v>
      </c>
    </row>
    <row r="43" spans="1:11" ht="12" customHeight="1" x14ac:dyDescent="0.25">
      <c r="A43" s="116"/>
      <c r="B43" s="4">
        <v>216</v>
      </c>
      <c r="C43" s="15" t="s">
        <v>348</v>
      </c>
      <c r="D43" s="17">
        <v>34913</v>
      </c>
      <c r="E43" s="18" t="s">
        <v>3</v>
      </c>
      <c r="F43" s="37" t="s">
        <v>406</v>
      </c>
      <c r="G43" s="37" t="s">
        <v>381</v>
      </c>
      <c r="H43" s="37" t="s">
        <v>35</v>
      </c>
      <c r="I43" s="107">
        <v>1315110</v>
      </c>
      <c r="J43" s="96"/>
      <c r="K43" s="22">
        <v>195</v>
      </c>
    </row>
    <row r="44" spans="1:11" ht="12" customHeight="1" x14ac:dyDescent="0.25">
      <c r="A44" s="115">
        <v>26</v>
      </c>
      <c r="B44" s="4">
        <v>217</v>
      </c>
      <c r="C44" s="15" t="s">
        <v>337</v>
      </c>
      <c r="D44" s="17">
        <v>36855</v>
      </c>
      <c r="E44" s="6" t="s">
        <v>336</v>
      </c>
      <c r="F44" s="37" t="s">
        <v>435</v>
      </c>
      <c r="G44" s="37"/>
      <c r="H44" s="37" t="s">
        <v>338</v>
      </c>
      <c r="I44" s="37" t="s">
        <v>339</v>
      </c>
      <c r="J44" s="96"/>
      <c r="K44" s="22">
        <v>213</v>
      </c>
    </row>
    <row r="45" spans="1:11" ht="12" customHeight="1" x14ac:dyDescent="0.25">
      <c r="A45" s="117"/>
      <c r="B45" s="4">
        <v>217</v>
      </c>
      <c r="C45" s="15" t="s">
        <v>340</v>
      </c>
      <c r="D45" s="17">
        <v>36315</v>
      </c>
      <c r="E45" s="6" t="s">
        <v>336</v>
      </c>
      <c r="F45" s="37" t="s">
        <v>435</v>
      </c>
      <c r="G45" s="37"/>
      <c r="H45" s="37" t="s">
        <v>445</v>
      </c>
      <c r="I45" s="37" t="s">
        <v>341</v>
      </c>
      <c r="J45" s="96"/>
      <c r="K45" s="22">
        <v>227</v>
      </c>
    </row>
    <row r="46" spans="1:11" ht="12" customHeight="1" x14ac:dyDescent="0.25">
      <c r="A46" s="116"/>
      <c r="B46" s="4">
        <v>217</v>
      </c>
      <c r="C46" s="15" t="s">
        <v>342</v>
      </c>
      <c r="D46" s="17">
        <v>36814</v>
      </c>
      <c r="E46" s="6" t="s">
        <v>30</v>
      </c>
      <c r="F46" s="37" t="s">
        <v>437</v>
      </c>
      <c r="G46" s="37"/>
      <c r="H46" s="37" t="s">
        <v>84</v>
      </c>
      <c r="I46" s="37" t="s">
        <v>458</v>
      </c>
      <c r="J46" s="96"/>
      <c r="K46" s="22">
        <v>214</v>
      </c>
    </row>
    <row r="47" spans="1:11" ht="12" customHeight="1" x14ac:dyDescent="0.25">
      <c r="A47" s="115">
        <v>9</v>
      </c>
      <c r="B47" s="4">
        <v>218</v>
      </c>
      <c r="C47" s="15" t="s">
        <v>351</v>
      </c>
      <c r="D47" s="17">
        <v>36800</v>
      </c>
      <c r="E47" s="18" t="s">
        <v>6</v>
      </c>
      <c r="F47" s="37" t="s">
        <v>390</v>
      </c>
      <c r="G47" s="37" t="s">
        <v>381</v>
      </c>
      <c r="H47" s="37" t="s">
        <v>352</v>
      </c>
      <c r="I47" s="37" t="s">
        <v>196</v>
      </c>
      <c r="J47" s="96"/>
      <c r="K47" s="22">
        <v>33</v>
      </c>
    </row>
    <row r="48" spans="1:11" ht="12" customHeight="1" x14ac:dyDescent="0.25">
      <c r="A48" s="116"/>
      <c r="B48" s="4">
        <v>218</v>
      </c>
      <c r="C48" s="10" t="s">
        <v>307</v>
      </c>
      <c r="D48" s="27">
        <v>36080</v>
      </c>
      <c r="E48" s="18" t="s">
        <v>6</v>
      </c>
      <c r="F48" s="37" t="s">
        <v>192</v>
      </c>
      <c r="G48" s="37" t="s">
        <v>381</v>
      </c>
      <c r="H48" s="37" t="s">
        <v>32</v>
      </c>
      <c r="I48" s="94" t="s">
        <v>193</v>
      </c>
      <c r="J48" s="94"/>
      <c r="K48" s="22">
        <v>123</v>
      </c>
    </row>
    <row r="49" spans="1:11" ht="12" customHeight="1" x14ac:dyDescent="0.25">
      <c r="A49" s="115">
        <v>27</v>
      </c>
      <c r="B49" s="4">
        <v>219</v>
      </c>
      <c r="C49" s="15"/>
      <c r="D49" s="15"/>
      <c r="E49" s="18"/>
      <c r="F49" s="37"/>
      <c r="G49" s="37"/>
      <c r="H49" s="37"/>
      <c r="I49" s="37"/>
      <c r="J49" s="96"/>
      <c r="K49" s="22"/>
    </row>
    <row r="50" spans="1:11" ht="12" customHeight="1" x14ac:dyDescent="0.25">
      <c r="A50" s="117"/>
      <c r="B50" s="4">
        <v>219</v>
      </c>
      <c r="C50" s="15"/>
      <c r="D50" s="15"/>
      <c r="E50" s="18"/>
      <c r="F50" s="37"/>
      <c r="G50" s="37"/>
      <c r="H50" s="37"/>
      <c r="I50" s="37"/>
      <c r="J50" s="96"/>
      <c r="K50" s="22"/>
    </row>
    <row r="51" spans="1:11" ht="12" customHeight="1" x14ac:dyDescent="0.25">
      <c r="A51" s="116"/>
      <c r="B51" s="4">
        <v>219</v>
      </c>
      <c r="C51" s="15"/>
      <c r="D51" s="15"/>
      <c r="E51" s="18"/>
      <c r="F51" s="37"/>
      <c r="G51" s="37"/>
      <c r="H51" s="37"/>
      <c r="I51" s="37"/>
      <c r="J51" s="96"/>
      <c r="K51" s="22"/>
    </row>
    <row r="52" spans="1:11" ht="12" customHeight="1" x14ac:dyDescent="0.25">
      <c r="A52" s="115">
        <v>10</v>
      </c>
      <c r="B52" s="4">
        <v>220</v>
      </c>
      <c r="C52" s="15" t="s">
        <v>471</v>
      </c>
      <c r="D52" s="17">
        <v>36714</v>
      </c>
      <c r="E52" s="18" t="s">
        <v>6</v>
      </c>
      <c r="F52" s="37" t="s">
        <v>391</v>
      </c>
      <c r="G52" s="37" t="s">
        <v>381</v>
      </c>
      <c r="H52" s="37" t="s">
        <v>11</v>
      </c>
      <c r="I52" s="37" t="s">
        <v>193</v>
      </c>
      <c r="J52" s="96"/>
      <c r="K52" s="22">
        <v>102</v>
      </c>
    </row>
    <row r="53" spans="1:11" ht="12" customHeight="1" x14ac:dyDescent="0.25">
      <c r="A53" s="116"/>
      <c r="B53" s="4">
        <v>220</v>
      </c>
      <c r="C53" s="15" t="s">
        <v>553</v>
      </c>
      <c r="D53" s="17">
        <v>36428</v>
      </c>
      <c r="E53" s="18" t="s">
        <v>6</v>
      </c>
      <c r="F53" s="37" t="s">
        <v>560</v>
      </c>
      <c r="G53" s="37" t="s">
        <v>269</v>
      </c>
      <c r="H53" s="37" t="s">
        <v>16</v>
      </c>
      <c r="I53" s="112"/>
      <c r="J53" s="96"/>
      <c r="K53" s="22">
        <v>269</v>
      </c>
    </row>
    <row r="54" spans="1:11" ht="12" customHeight="1" x14ac:dyDescent="0.25">
      <c r="A54" s="115">
        <v>28</v>
      </c>
      <c r="B54" s="4">
        <v>221</v>
      </c>
      <c r="C54" s="41"/>
      <c r="D54" s="41"/>
      <c r="E54" s="59"/>
      <c r="F54" s="81"/>
      <c r="G54" s="81"/>
      <c r="H54" s="81"/>
      <c r="I54" s="81"/>
      <c r="J54" s="81"/>
      <c r="K54" s="41"/>
    </row>
    <row r="55" spans="1:11" ht="12" customHeight="1" x14ac:dyDescent="0.25">
      <c r="A55" s="117"/>
      <c r="B55" s="4">
        <v>221</v>
      </c>
      <c r="C55" s="15"/>
      <c r="D55" s="15"/>
      <c r="E55" s="18"/>
      <c r="F55" s="37"/>
      <c r="G55" s="37"/>
      <c r="H55" s="37"/>
      <c r="I55" s="37"/>
      <c r="J55" s="96"/>
      <c r="K55" s="22"/>
    </row>
    <row r="56" spans="1:11" ht="12" customHeight="1" x14ac:dyDescent="0.25">
      <c r="A56" s="116"/>
      <c r="B56" s="4">
        <v>221</v>
      </c>
      <c r="C56" s="15"/>
      <c r="D56" s="15"/>
      <c r="E56" s="18"/>
      <c r="F56" s="37"/>
      <c r="G56" s="37"/>
      <c r="H56" s="37"/>
      <c r="I56" s="37"/>
      <c r="J56" s="96"/>
      <c r="K56" s="22"/>
    </row>
    <row r="57" spans="1:11" ht="12" customHeight="1" x14ac:dyDescent="0.25">
      <c r="A57" s="115">
        <v>11</v>
      </c>
      <c r="B57" s="4">
        <v>222</v>
      </c>
      <c r="C57" s="15" t="s">
        <v>187</v>
      </c>
      <c r="D57" s="17">
        <v>36760</v>
      </c>
      <c r="E57" s="18" t="s">
        <v>6</v>
      </c>
      <c r="F57" s="37" t="s">
        <v>382</v>
      </c>
      <c r="G57" s="37" t="s">
        <v>269</v>
      </c>
      <c r="H57" s="37" t="s">
        <v>10</v>
      </c>
      <c r="I57" s="107">
        <v>1497737</v>
      </c>
      <c r="J57" s="113"/>
      <c r="K57" s="16">
        <v>230</v>
      </c>
    </row>
    <row r="58" spans="1:11" ht="12" customHeight="1" x14ac:dyDescent="0.25">
      <c r="A58" s="116"/>
      <c r="B58" s="4">
        <v>222</v>
      </c>
      <c r="C58" s="15" t="s">
        <v>354</v>
      </c>
      <c r="D58" s="17">
        <v>36215</v>
      </c>
      <c r="E58" s="18" t="s">
        <v>6</v>
      </c>
      <c r="F58" s="37" t="s">
        <v>383</v>
      </c>
      <c r="G58" s="37" t="s">
        <v>381</v>
      </c>
      <c r="H58" s="37" t="s">
        <v>355</v>
      </c>
      <c r="I58" s="107">
        <v>1497737</v>
      </c>
      <c r="J58" s="110"/>
      <c r="K58" s="16">
        <v>49</v>
      </c>
    </row>
    <row r="59" spans="1:11" ht="12" customHeight="1" x14ac:dyDescent="0.25">
      <c r="A59" s="115">
        <v>29</v>
      </c>
      <c r="B59" s="4">
        <v>223</v>
      </c>
      <c r="C59" s="15"/>
      <c r="D59" s="15"/>
      <c r="E59" s="18"/>
      <c r="F59" s="37"/>
      <c r="G59" s="37"/>
      <c r="H59" s="37"/>
      <c r="I59" s="37"/>
      <c r="J59" s="96"/>
      <c r="K59" s="22"/>
    </row>
    <row r="60" spans="1:11" ht="12" customHeight="1" x14ac:dyDescent="0.25">
      <c r="A60" s="117"/>
      <c r="B60" s="4">
        <v>223</v>
      </c>
      <c r="C60" s="15"/>
      <c r="D60" s="15"/>
      <c r="E60" s="18"/>
      <c r="F60" s="37"/>
      <c r="G60" s="37"/>
      <c r="H60" s="37"/>
      <c r="I60" s="37"/>
      <c r="J60" s="110"/>
      <c r="K60" s="16"/>
    </row>
    <row r="61" spans="1:11" ht="12" customHeight="1" x14ac:dyDescent="0.25">
      <c r="A61" s="116"/>
      <c r="B61" s="4">
        <v>223</v>
      </c>
      <c r="C61" s="15"/>
      <c r="D61" s="15"/>
      <c r="E61" s="18"/>
      <c r="F61" s="37"/>
      <c r="G61" s="37"/>
      <c r="H61" s="37"/>
      <c r="I61" s="37"/>
      <c r="J61" s="110"/>
      <c r="K61" s="16"/>
    </row>
    <row r="62" spans="1:11" ht="12" customHeight="1" x14ac:dyDescent="0.25">
      <c r="A62" s="115">
        <v>12</v>
      </c>
      <c r="B62" s="4">
        <v>224</v>
      </c>
      <c r="C62" s="15" t="s">
        <v>356</v>
      </c>
      <c r="D62" s="17">
        <v>36691</v>
      </c>
      <c r="E62" s="18" t="s">
        <v>6</v>
      </c>
      <c r="F62" s="37" t="s">
        <v>389</v>
      </c>
      <c r="G62" s="37" t="s">
        <v>269</v>
      </c>
      <c r="H62" s="37" t="s">
        <v>357</v>
      </c>
      <c r="I62" s="107">
        <v>1497725</v>
      </c>
      <c r="J62" s="96"/>
      <c r="K62" s="22">
        <v>76</v>
      </c>
    </row>
    <row r="63" spans="1:11" ht="12" customHeight="1" x14ac:dyDescent="0.25">
      <c r="A63" s="116"/>
      <c r="B63" s="4">
        <v>224</v>
      </c>
      <c r="C63" s="15" t="s">
        <v>358</v>
      </c>
      <c r="D63" s="17">
        <v>36116</v>
      </c>
      <c r="E63" s="18" t="s">
        <v>6</v>
      </c>
      <c r="F63" s="37" t="s">
        <v>383</v>
      </c>
      <c r="G63" s="37" t="s">
        <v>381</v>
      </c>
      <c r="H63" s="37" t="s">
        <v>359</v>
      </c>
      <c r="I63" s="37" t="s">
        <v>460</v>
      </c>
      <c r="J63" s="96"/>
      <c r="K63" s="22">
        <v>225</v>
      </c>
    </row>
    <row r="64" spans="1:11" ht="12" customHeight="1" x14ac:dyDescent="0.25">
      <c r="A64" s="115">
        <v>13</v>
      </c>
      <c r="B64" s="4" t="s">
        <v>92</v>
      </c>
      <c r="C64" s="10" t="s">
        <v>296</v>
      </c>
      <c r="D64" s="27">
        <v>36924</v>
      </c>
      <c r="E64" s="18" t="s">
        <v>6</v>
      </c>
      <c r="F64" s="37" t="s">
        <v>389</v>
      </c>
      <c r="G64" s="37" t="s">
        <v>381</v>
      </c>
      <c r="H64" s="37" t="s">
        <v>297</v>
      </c>
      <c r="I64" s="94" t="s">
        <v>224</v>
      </c>
      <c r="J64" s="94"/>
      <c r="K64" s="22">
        <v>106</v>
      </c>
    </row>
    <row r="65" spans="1:11" ht="12" customHeight="1" x14ac:dyDescent="0.25">
      <c r="A65" s="116"/>
      <c r="B65" s="4" t="s">
        <v>92</v>
      </c>
      <c r="C65" s="15"/>
      <c r="D65" s="15"/>
      <c r="E65" s="18"/>
      <c r="F65" s="37"/>
      <c r="G65" s="37"/>
      <c r="H65" s="37"/>
      <c r="I65" s="37"/>
      <c r="J65" s="96"/>
      <c r="K65" s="22"/>
    </row>
    <row r="66" spans="1:11" ht="12" customHeight="1" x14ac:dyDescent="0.25">
      <c r="A66" s="115">
        <v>30</v>
      </c>
      <c r="B66" s="4">
        <v>225</v>
      </c>
      <c r="C66" s="15"/>
      <c r="D66" s="15"/>
      <c r="E66" s="18"/>
      <c r="F66" s="37"/>
      <c r="G66" s="37"/>
      <c r="H66" s="37"/>
      <c r="I66" s="37"/>
      <c r="J66" s="96"/>
      <c r="K66" s="22"/>
    </row>
    <row r="67" spans="1:11" ht="12" customHeight="1" x14ac:dyDescent="0.25">
      <c r="A67" s="117"/>
      <c r="B67" s="4">
        <v>225</v>
      </c>
      <c r="C67" s="15"/>
      <c r="D67" s="15"/>
      <c r="E67" s="18"/>
      <c r="F67" s="37"/>
      <c r="G67" s="37"/>
      <c r="H67" s="37"/>
      <c r="I67" s="37"/>
      <c r="J67" s="96"/>
      <c r="K67" s="22"/>
    </row>
    <row r="68" spans="1:11" ht="12" customHeight="1" x14ac:dyDescent="0.25">
      <c r="A68" s="116"/>
      <c r="B68" s="4">
        <v>225</v>
      </c>
      <c r="C68" s="15"/>
      <c r="D68" s="15"/>
      <c r="E68" s="18"/>
      <c r="F68" s="37"/>
      <c r="G68" s="37"/>
      <c r="H68" s="37"/>
      <c r="I68" s="37"/>
      <c r="J68" s="96"/>
      <c r="K68" s="22"/>
    </row>
    <row r="69" spans="1:11" ht="12" customHeight="1" x14ac:dyDescent="0.25">
      <c r="A69" s="115">
        <v>14</v>
      </c>
      <c r="B69" s="4">
        <v>226</v>
      </c>
      <c r="C69" s="10" t="s">
        <v>277</v>
      </c>
      <c r="D69" s="27">
        <v>36643</v>
      </c>
      <c r="E69" s="18" t="s">
        <v>6</v>
      </c>
      <c r="F69" s="37" t="s">
        <v>197</v>
      </c>
      <c r="G69" s="37" t="s">
        <v>381</v>
      </c>
      <c r="H69" s="37" t="s">
        <v>121</v>
      </c>
      <c r="I69" s="94" t="s">
        <v>196</v>
      </c>
      <c r="J69" s="94"/>
      <c r="K69" s="22">
        <v>56</v>
      </c>
    </row>
    <row r="70" spans="1:11" ht="12" customHeight="1" x14ac:dyDescent="0.25">
      <c r="A70" s="116"/>
      <c r="B70" s="4">
        <v>226</v>
      </c>
      <c r="C70" s="15"/>
      <c r="D70" s="17"/>
      <c r="E70" s="18"/>
      <c r="F70" s="37"/>
      <c r="G70" s="37"/>
      <c r="H70" s="37"/>
      <c r="I70" s="37"/>
      <c r="J70" s="96"/>
      <c r="K70" s="22"/>
    </row>
    <row r="71" spans="1:11" ht="12" customHeight="1" x14ac:dyDescent="0.25">
      <c r="A71" s="115">
        <v>31</v>
      </c>
      <c r="B71" s="4">
        <v>227</v>
      </c>
      <c r="C71" s="15"/>
      <c r="D71" s="15"/>
      <c r="E71" s="18"/>
      <c r="F71" s="37"/>
      <c r="G71" s="37"/>
      <c r="H71" s="37"/>
      <c r="I71" s="37"/>
      <c r="J71" s="96"/>
      <c r="K71" s="22"/>
    </row>
    <row r="72" spans="1:11" ht="12" customHeight="1" x14ac:dyDescent="0.25">
      <c r="A72" s="117"/>
      <c r="B72" s="4">
        <v>227</v>
      </c>
      <c r="C72" s="15"/>
      <c r="D72" s="15"/>
      <c r="E72" s="18"/>
      <c r="F72" s="37"/>
      <c r="G72" s="37"/>
      <c r="H72" s="37"/>
      <c r="I72" s="37"/>
      <c r="J72" s="96"/>
      <c r="K72" s="22"/>
    </row>
    <row r="73" spans="1:11" ht="12" customHeight="1" x14ac:dyDescent="0.25">
      <c r="A73" s="116"/>
      <c r="B73" s="4">
        <v>227</v>
      </c>
      <c r="C73" s="15"/>
      <c r="D73" s="15"/>
      <c r="E73" s="18"/>
      <c r="F73" s="37"/>
      <c r="G73" s="37"/>
      <c r="H73" s="37"/>
      <c r="I73" s="37"/>
      <c r="J73" s="110"/>
      <c r="K73" s="16"/>
    </row>
    <row r="74" spans="1:11" ht="12" customHeight="1" x14ac:dyDescent="0.25">
      <c r="A74" s="115">
        <v>15</v>
      </c>
      <c r="B74" s="4">
        <v>228</v>
      </c>
      <c r="C74" s="15"/>
      <c r="D74" s="15"/>
      <c r="E74" s="18"/>
      <c r="F74" s="37"/>
      <c r="G74" s="37"/>
      <c r="H74" s="37"/>
      <c r="I74" s="37"/>
      <c r="J74" s="96"/>
      <c r="K74" s="22"/>
    </row>
    <row r="75" spans="1:11" ht="12" customHeight="1" x14ac:dyDescent="0.25">
      <c r="A75" s="116"/>
      <c r="B75" s="4">
        <v>228</v>
      </c>
      <c r="C75" s="15"/>
      <c r="D75" s="15"/>
      <c r="E75" s="18"/>
      <c r="F75" s="37"/>
      <c r="G75" s="37"/>
      <c r="H75" s="37"/>
      <c r="I75" s="37"/>
      <c r="J75" s="96"/>
      <c r="K75" s="22"/>
    </row>
    <row r="76" spans="1:11" ht="12" customHeight="1" x14ac:dyDescent="0.25">
      <c r="A76" s="115">
        <v>32</v>
      </c>
      <c r="B76" s="4">
        <v>229</v>
      </c>
      <c r="C76" s="15"/>
      <c r="D76" s="15"/>
      <c r="E76" s="18"/>
      <c r="F76" s="37"/>
      <c r="G76" s="37"/>
      <c r="H76" s="37"/>
      <c r="I76" s="37"/>
      <c r="J76" s="96"/>
      <c r="K76" s="22"/>
    </row>
    <row r="77" spans="1:11" ht="12" customHeight="1" x14ac:dyDescent="0.25">
      <c r="A77" s="117"/>
      <c r="B77" s="4">
        <v>229</v>
      </c>
      <c r="C77" s="15"/>
      <c r="D77" s="15"/>
      <c r="E77" s="18"/>
      <c r="F77" s="37"/>
      <c r="G77" s="37"/>
      <c r="H77" s="37"/>
      <c r="I77" s="37"/>
      <c r="J77" s="110"/>
      <c r="K77" s="16"/>
    </row>
    <row r="78" spans="1:11" ht="12" customHeight="1" x14ac:dyDescent="0.25">
      <c r="A78" s="116"/>
      <c r="B78" s="4">
        <v>229</v>
      </c>
      <c r="C78" s="15"/>
      <c r="D78" s="15"/>
      <c r="E78" s="18"/>
      <c r="F78" s="37"/>
      <c r="G78" s="37"/>
      <c r="H78" s="37"/>
      <c r="I78" s="37"/>
      <c r="J78" s="110"/>
      <c r="K78" s="16"/>
    </row>
    <row r="79" spans="1:11" ht="12" customHeight="1" x14ac:dyDescent="0.25">
      <c r="A79" s="115">
        <v>16</v>
      </c>
      <c r="B79" s="4">
        <v>230</v>
      </c>
      <c r="C79" s="15"/>
      <c r="D79" s="15"/>
      <c r="E79" s="18"/>
      <c r="F79" s="37"/>
      <c r="G79" s="37"/>
      <c r="H79" s="37"/>
      <c r="I79" s="37"/>
      <c r="J79" s="114"/>
      <c r="K79" s="23"/>
    </row>
    <row r="80" spans="1:11" ht="12" customHeight="1" x14ac:dyDescent="0.25">
      <c r="A80" s="116"/>
      <c r="B80" s="4">
        <v>230</v>
      </c>
      <c r="C80" s="15"/>
      <c r="D80" s="15"/>
      <c r="E80" s="18"/>
      <c r="F80" s="37"/>
      <c r="G80" s="37"/>
      <c r="H80" s="37"/>
      <c r="I80" s="37"/>
      <c r="J80" s="96"/>
      <c r="K80" s="22"/>
    </row>
    <row r="81" spans="1:11" ht="12" customHeight="1" x14ac:dyDescent="0.25">
      <c r="A81" s="115">
        <v>33</v>
      </c>
      <c r="B81" s="4">
        <v>231</v>
      </c>
      <c r="C81" s="15"/>
      <c r="D81" s="15"/>
      <c r="E81" s="18"/>
      <c r="F81" s="37"/>
      <c r="G81" s="37"/>
      <c r="H81" s="37"/>
      <c r="I81" s="37"/>
      <c r="J81" s="96"/>
      <c r="K81" s="22"/>
    </row>
    <row r="82" spans="1:11" ht="12" customHeight="1" x14ac:dyDescent="0.25">
      <c r="A82" s="117"/>
      <c r="B82" s="4">
        <v>231</v>
      </c>
      <c r="C82" s="15"/>
      <c r="D82" s="15"/>
      <c r="E82" s="18"/>
      <c r="F82" s="37"/>
      <c r="G82" s="37"/>
      <c r="H82" s="37"/>
      <c r="I82" s="37"/>
      <c r="J82" s="96"/>
      <c r="K82" s="22"/>
    </row>
    <row r="83" spans="1:11" ht="12" customHeight="1" x14ac:dyDescent="0.25">
      <c r="A83" s="116"/>
      <c r="B83" s="4">
        <v>231</v>
      </c>
      <c r="C83" s="15"/>
      <c r="D83" s="15"/>
      <c r="E83" s="18"/>
      <c r="F83" s="37"/>
      <c r="G83" s="37"/>
      <c r="H83" s="37"/>
      <c r="I83" s="37"/>
      <c r="J83" s="96"/>
      <c r="K83" s="22"/>
    </row>
    <row r="84" spans="1:11" ht="12" customHeight="1" x14ac:dyDescent="0.25">
      <c r="A84" s="115">
        <v>17</v>
      </c>
      <c r="B84" s="4">
        <v>232</v>
      </c>
      <c r="C84" s="15"/>
      <c r="D84" s="15"/>
      <c r="E84" s="18"/>
      <c r="F84" s="37"/>
      <c r="G84" s="37"/>
      <c r="H84" s="37"/>
      <c r="I84" s="37"/>
      <c r="J84" s="96"/>
      <c r="K84" s="22"/>
    </row>
    <row r="85" spans="1:11" ht="12" customHeight="1" x14ac:dyDescent="0.25">
      <c r="A85" s="116"/>
      <c r="B85" s="4">
        <v>232</v>
      </c>
      <c r="C85" s="15"/>
      <c r="D85" s="15"/>
      <c r="E85" s="18"/>
      <c r="F85" s="37"/>
      <c r="G85" s="37"/>
      <c r="H85" s="37"/>
      <c r="I85" s="37"/>
      <c r="J85" s="96"/>
      <c r="K85" s="22"/>
    </row>
    <row r="86" spans="1:11" ht="12" customHeight="1" x14ac:dyDescent="0.25">
      <c r="A86" s="115">
        <v>34</v>
      </c>
      <c r="B86" s="4">
        <v>233</v>
      </c>
      <c r="C86" s="15"/>
      <c r="D86" s="15"/>
      <c r="E86" s="18"/>
      <c r="F86" s="37"/>
      <c r="G86" s="37"/>
      <c r="H86" s="37"/>
      <c r="I86" s="37"/>
      <c r="J86" s="96"/>
      <c r="K86" s="22"/>
    </row>
    <row r="87" spans="1:11" ht="12" customHeight="1" x14ac:dyDescent="0.25">
      <c r="A87" s="117"/>
      <c r="B87" s="4">
        <v>233</v>
      </c>
      <c r="C87" s="15"/>
      <c r="D87" s="15"/>
      <c r="E87" s="18"/>
      <c r="F87" s="37"/>
      <c r="G87" s="37"/>
      <c r="H87" s="37"/>
      <c r="I87" s="37"/>
      <c r="J87" s="96"/>
      <c r="K87" s="22"/>
    </row>
    <row r="88" spans="1:11" ht="12" customHeight="1" x14ac:dyDescent="0.25">
      <c r="A88" s="116"/>
      <c r="B88" s="4">
        <v>233</v>
      </c>
      <c r="C88" s="15"/>
      <c r="D88" s="15"/>
      <c r="E88" s="18"/>
      <c r="F88" s="37"/>
      <c r="G88" s="37"/>
      <c r="H88" s="37"/>
      <c r="I88" s="37"/>
      <c r="J88" s="96"/>
      <c r="K88" s="22"/>
    </row>
    <row r="89" spans="1:11" ht="12" customHeight="1" x14ac:dyDescent="0.25">
      <c r="A89" s="115">
        <v>18</v>
      </c>
      <c r="B89" s="4">
        <v>234</v>
      </c>
      <c r="C89" s="15"/>
      <c r="D89" s="15"/>
      <c r="E89" s="18"/>
      <c r="F89" s="37"/>
      <c r="G89" s="37"/>
      <c r="H89" s="37"/>
      <c r="I89" s="37"/>
      <c r="J89" s="96"/>
      <c r="K89" s="22"/>
    </row>
    <row r="90" spans="1:11" ht="12" customHeight="1" x14ac:dyDescent="0.25">
      <c r="A90" s="116"/>
      <c r="B90" s="4">
        <v>234</v>
      </c>
      <c r="C90" s="15"/>
      <c r="D90" s="15"/>
      <c r="E90" s="18"/>
      <c r="F90" s="37"/>
      <c r="G90" s="37"/>
      <c r="H90" s="37"/>
      <c r="I90" s="37"/>
      <c r="J90" s="96"/>
      <c r="K90" s="22"/>
    </row>
    <row r="91" spans="1:11" ht="12" customHeight="1" x14ac:dyDescent="0.25">
      <c r="A91" s="115">
        <v>35</v>
      </c>
      <c r="B91" s="4">
        <v>235</v>
      </c>
      <c r="C91" s="15"/>
      <c r="D91" s="15"/>
      <c r="E91" s="18"/>
      <c r="F91" s="37"/>
      <c r="G91" s="37"/>
      <c r="H91" s="37"/>
      <c r="I91" s="37"/>
      <c r="J91" s="96"/>
      <c r="K91" s="22"/>
    </row>
    <row r="92" spans="1:11" ht="12" customHeight="1" x14ac:dyDescent="0.25">
      <c r="A92" s="117"/>
      <c r="B92" s="4">
        <v>235</v>
      </c>
      <c r="C92" s="15"/>
      <c r="D92" s="15"/>
      <c r="E92" s="18"/>
      <c r="F92" s="37"/>
      <c r="G92" s="37"/>
      <c r="H92" s="37"/>
      <c r="I92" s="37"/>
      <c r="J92" s="96"/>
      <c r="K92" s="22"/>
    </row>
    <row r="93" spans="1:11" ht="12" customHeight="1" x14ac:dyDescent="0.25">
      <c r="A93" s="116"/>
      <c r="B93" s="4">
        <v>235</v>
      </c>
      <c r="C93" s="15"/>
      <c r="D93" s="15"/>
      <c r="E93" s="18"/>
      <c r="F93" s="37"/>
      <c r="G93" s="37"/>
      <c r="H93" s="37"/>
      <c r="I93" s="37"/>
      <c r="J93" s="81"/>
      <c r="K93" s="24"/>
    </row>
    <row r="94" spans="1:11" ht="12" customHeight="1" x14ac:dyDescent="0.25">
      <c r="A94" s="115">
        <v>36</v>
      </c>
      <c r="B94" s="4">
        <v>237</v>
      </c>
      <c r="C94" s="15"/>
      <c r="D94" s="15"/>
      <c r="E94" s="18"/>
      <c r="F94" s="37"/>
      <c r="G94" s="37"/>
      <c r="H94" s="37"/>
      <c r="I94" s="37"/>
      <c r="J94" s="81"/>
      <c r="K94" s="24"/>
    </row>
    <row r="95" spans="1:11" ht="12" customHeight="1" x14ac:dyDescent="0.25">
      <c r="A95" s="117"/>
      <c r="B95" s="4">
        <v>237</v>
      </c>
      <c r="C95" s="15"/>
      <c r="D95" s="15"/>
      <c r="E95" s="18"/>
      <c r="F95" s="37"/>
      <c r="G95" s="37"/>
      <c r="H95" s="37"/>
      <c r="I95" s="37"/>
      <c r="J95" s="81"/>
      <c r="K95" s="24"/>
    </row>
    <row r="96" spans="1:11" ht="12" customHeight="1" x14ac:dyDescent="0.25">
      <c r="A96" s="116"/>
      <c r="B96" s="4">
        <v>237</v>
      </c>
      <c r="C96" s="15"/>
      <c r="D96" s="15"/>
      <c r="E96" s="18"/>
      <c r="F96" s="37"/>
      <c r="G96" s="37"/>
      <c r="H96" s="37"/>
      <c r="I96" s="37"/>
      <c r="J96" s="81"/>
      <c r="K96" s="24"/>
    </row>
  </sheetData>
  <sortState ref="C17:K18">
    <sortCondition ref="C17"/>
  </sortState>
  <mergeCells count="38">
    <mergeCell ref="B1:J1"/>
    <mergeCell ref="A3:A6"/>
    <mergeCell ref="A7:A8"/>
    <mergeCell ref="A9:A11"/>
    <mergeCell ref="A12:A13"/>
    <mergeCell ref="A14:A16"/>
    <mergeCell ref="A17:A18"/>
    <mergeCell ref="A19:A21"/>
    <mergeCell ref="A22:A23"/>
    <mergeCell ref="A24:A26"/>
    <mergeCell ref="A27:A28"/>
    <mergeCell ref="A29:A31"/>
    <mergeCell ref="A32:A33"/>
    <mergeCell ref="A34:A36"/>
    <mergeCell ref="A37:A38"/>
    <mergeCell ref="A39:A41"/>
    <mergeCell ref="A42:A43"/>
    <mergeCell ref="A44:A46"/>
    <mergeCell ref="A47:A48"/>
    <mergeCell ref="A49:A51"/>
    <mergeCell ref="A52:A53"/>
    <mergeCell ref="A54:A56"/>
    <mergeCell ref="A57:A58"/>
    <mergeCell ref="A59:A61"/>
    <mergeCell ref="A62:A63"/>
    <mergeCell ref="A64:A65"/>
    <mergeCell ref="A66:A68"/>
    <mergeCell ref="A69:A70"/>
    <mergeCell ref="A71:A73"/>
    <mergeCell ref="A74:A75"/>
    <mergeCell ref="A89:A90"/>
    <mergeCell ref="A91:A93"/>
    <mergeCell ref="A94:A96"/>
    <mergeCell ref="A76:A78"/>
    <mergeCell ref="A79:A80"/>
    <mergeCell ref="A81:A83"/>
    <mergeCell ref="A84:A85"/>
    <mergeCell ref="A86:A88"/>
  </mergeCells>
  <pageMargins left="0.39370078740157483" right="0.39370078740157483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view="pageBreakPreview" zoomScaleNormal="60" zoomScaleSheetLayoutView="100" workbookViewId="0">
      <selection activeCell="C10" sqref="C10:K10"/>
    </sheetView>
  </sheetViews>
  <sheetFormatPr defaultRowHeight="15" x14ac:dyDescent="0.25"/>
  <cols>
    <col min="1" max="1" width="5.85546875" style="69" customWidth="1"/>
    <col min="2" max="2" width="5.7109375" customWidth="1"/>
    <col min="3" max="3" width="36.5703125" customWidth="1"/>
    <col min="4" max="4" width="10.28515625" style="40" customWidth="1"/>
    <col min="5" max="5" width="7.7109375" customWidth="1"/>
    <col min="6" max="6" width="11.7109375" customWidth="1"/>
    <col min="7" max="7" width="3.5703125" customWidth="1"/>
    <col min="8" max="8" width="28.7109375" customWidth="1"/>
    <col min="9" max="9" width="10.7109375" customWidth="1"/>
    <col min="10" max="11" width="8.7109375" customWidth="1"/>
  </cols>
  <sheetData>
    <row r="1" spans="1:11" ht="22.5" x14ac:dyDescent="0.3">
      <c r="B1" s="123" t="s">
        <v>91</v>
      </c>
      <c r="C1" s="123"/>
      <c r="D1" s="123"/>
      <c r="E1" s="123"/>
      <c r="F1" s="123"/>
      <c r="G1" s="123"/>
      <c r="H1" s="123"/>
      <c r="I1" s="123"/>
      <c r="J1" s="123"/>
      <c r="K1" s="13"/>
    </row>
    <row r="2" spans="1:11" ht="25.5" customHeight="1" x14ac:dyDescent="0.25">
      <c r="A2" s="1" t="s">
        <v>557</v>
      </c>
      <c r="B2" s="1" t="s">
        <v>90</v>
      </c>
      <c r="C2" s="1" t="s">
        <v>0</v>
      </c>
      <c r="D2" s="2" t="s">
        <v>378</v>
      </c>
      <c r="E2" s="1" t="s">
        <v>1</v>
      </c>
      <c r="F2" s="1" t="s">
        <v>88</v>
      </c>
      <c r="G2" s="1" t="s">
        <v>380</v>
      </c>
      <c r="H2" s="1" t="s">
        <v>2</v>
      </c>
      <c r="I2" s="1" t="s">
        <v>87</v>
      </c>
      <c r="J2" s="1" t="s">
        <v>89</v>
      </c>
      <c r="K2" s="1" t="s">
        <v>379</v>
      </c>
    </row>
    <row r="3" spans="1:11" ht="12" customHeight="1" x14ac:dyDescent="0.25">
      <c r="A3" s="120" t="s">
        <v>558</v>
      </c>
      <c r="B3" s="4">
        <v>301</v>
      </c>
      <c r="C3" s="10" t="s">
        <v>223</v>
      </c>
      <c r="D3" s="38">
        <v>36754</v>
      </c>
      <c r="E3" s="18" t="s">
        <v>6</v>
      </c>
      <c r="F3" s="37" t="s">
        <v>192</v>
      </c>
      <c r="G3" s="37" t="s">
        <v>381</v>
      </c>
      <c r="H3" s="37" t="s">
        <v>11</v>
      </c>
      <c r="I3" s="94" t="s">
        <v>196</v>
      </c>
      <c r="J3" s="94" t="s">
        <v>544</v>
      </c>
      <c r="K3" s="22">
        <v>155</v>
      </c>
    </row>
    <row r="4" spans="1:11" ht="12" customHeight="1" x14ac:dyDescent="0.25">
      <c r="A4" s="122"/>
      <c r="B4" s="4">
        <v>301</v>
      </c>
      <c r="C4" s="10" t="s">
        <v>222</v>
      </c>
      <c r="D4" s="38">
        <v>36654</v>
      </c>
      <c r="E4" s="18" t="s">
        <v>6</v>
      </c>
      <c r="F4" s="37" t="s">
        <v>192</v>
      </c>
      <c r="G4" s="37" t="s">
        <v>381</v>
      </c>
      <c r="H4" s="37" t="s">
        <v>16</v>
      </c>
      <c r="I4" s="94" t="s">
        <v>196</v>
      </c>
      <c r="J4" s="94"/>
      <c r="K4" s="22">
        <v>110</v>
      </c>
    </row>
    <row r="5" spans="1:11" ht="12" customHeight="1" x14ac:dyDescent="0.25">
      <c r="A5" s="122"/>
      <c r="B5" s="4">
        <v>301</v>
      </c>
      <c r="C5" s="10" t="s">
        <v>225</v>
      </c>
      <c r="D5" s="38">
        <v>36749</v>
      </c>
      <c r="E5" s="18" t="s">
        <v>6</v>
      </c>
      <c r="F5" s="37" t="s">
        <v>391</v>
      </c>
      <c r="G5" s="37" t="s">
        <v>381</v>
      </c>
      <c r="H5" s="37" t="s">
        <v>26</v>
      </c>
      <c r="I5" s="94" t="s">
        <v>193</v>
      </c>
      <c r="J5" s="98"/>
      <c r="K5" s="24">
        <v>40</v>
      </c>
    </row>
    <row r="6" spans="1:11" ht="12" customHeight="1" x14ac:dyDescent="0.25">
      <c r="A6" s="121"/>
      <c r="B6" s="4">
        <v>301</v>
      </c>
      <c r="C6" s="10"/>
      <c r="D6" s="38"/>
      <c r="E6" s="18"/>
      <c r="F6" s="37"/>
      <c r="G6" s="37"/>
      <c r="H6" s="37"/>
      <c r="I6" s="94"/>
      <c r="J6" s="94"/>
      <c r="K6" s="22"/>
    </row>
    <row r="7" spans="1:11" ht="12" customHeight="1" x14ac:dyDescent="0.25">
      <c r="A7" s="120">
        <v>1</v>
      </c>
      <c r="B7" s="4">
        <v>302</v>
      </c>
      <c r="C7" s="10" t="s">
        <v>212</v>
      </c>
      <c r="D7" s="38">
        <v>35962</v>
      </c>
      <c r="E7" s="18" t="s">
        <v>6</v>
      </c>
      <c r="F7" s="37" t="s">
        <v>383</v>
      </c>
      <c r="G7" s="37" t="s">
        <v>381</v>
      </c>
      <c r="H7" s="37" t="s">
        <v>213</v>
      </c>
      <c r="I7" s="94">
        <v>0</v>
      </c>
      <c r="J7" s="94" t="s">
        <v>214</v>
      </c>
      <c r="K7" s="22">
        <v>8</v>
      </c>
    </row>
    <row r="8" spans="1:11" ht="12" customHeight="1" x14ac:dyDescent="0.25">
      <c r="A8" s="121"/>
      <c r="B8" s="4">
        <v>302</v>
      </c>
      <c r="C8" s="10" t="s">
        <v>410</v>
      </c>
      <c r="D8" s="38">
        <v>35936</v>
      </c>
      <c r="E8" s="18" t="s">
        <v>6</v>
      </c>
      <c r="F8" s="37" t="s">
        <v>411</v>
      </c>
      <c r="G8" s="37" t="s">
        <v>381</v>
      </c>
      <c r="H8" s="37" t="s">
        <v>16</v>
      </c>
      <c r="I8" s="94">
        <v>0</v>
      </c>
      <c r="J8" s="94" t="s">
        <v>15</v>
      </c>
      <c r="K8" s="22">
        <v>204</v>
      </c>
    </row>
    <row r="9" spans="1:11" ht="12" customHeight="1" x14ac:dyDescent="0.25">
      <c r="A9" s="120">
        <v>17</v>
      </c>
      <c r="B9" s="4">
        <v>303</v>
      </c>
      <c r="C9" s="10" t="s">
        <v>526</v>
      </c>
      <c r="D9" s="38">
        <v>36673</v>
      </c>
      <c r="E9" s="16" t="s">
        <v>336</v>
      </c>
      <c r="F9" s="37" t="s">
        <v>478</v>
      </c>
      <c r="G9" s="37"/>
      <c r="H9" s="37" t="s">
        <v>329</v>
      </c>
      <c r="I9" s="99">
        <v>913400</v>
      </c>
      <c r="J9" s="94"/>
      <c r="K9" s="22">
        <v>254</v>
      </c>
    </row>
    <row r="10" spans="1:11" ht="12" customHeight="1" x14ac:dyDescent="0.25">
      <c r="A10" s="122"/>
      <c r="B10" s="4">
        <v>303</v>
      </c>
      <c r="C10" s="10"/>
      <c r="D10" s="38"/>
      <c r="E10" s="16"/>
      <c r="F10" s="37"/>
      <c r="G10" s="37"/>
      <c r="H10" s="37"/>
      <c r="I10" s="99"/>
      <c r="J10" s="94"/>
      <c r="K10" s="22"/>
    </row>
    <row r="11" spans="1:11" ht="12" customHeight="1" x14ac:dyDescent="0.25">
      <c r="A11" s="121"/>
      <c r="B11" s="4">
        <v>303</v>
      </c>
      <c r="C11" s="10"/>
      <c r="D11" s="38"/>
      <c r="E11" s="16"/>
      <c r="F11" s="37"/>
      <c r="G11" s="37"/>
      <c r="H11" s="37"/>
      <c r="I11" s="94"/>
      <c r="J11" s="94"/>
      <c r="K11" s="22"/>
    </row>
    <row r="12" spans="1:11" ht="12" customHeight="1" x14ac:dyDescent="0.25">
      <c r="A12" s="120">
        <v>2</v>
      </c>
      <c r="B12" s="4">
        <v>304</v>
      </c>
      <c r="C12" s="10" t="s">
        <v>191</v>
      </c>
      <c r="D12" s="38">
        <v>36252</v>
      </c>
      <c r="E12" s="18" t="s">
        <v>6</v>
      </c>
      <c r="F12" s="37" t="s">
        <v>387</v>
      </c>
      <c r="G12" s="37" t="s">
        <v>381</v>
      </c>
      <c r="H12" s="37" t="s">
        <v>10</v>
      </c>
      <c r="I12" s="94" t="s">
        <v>193</v>
      </c>
      <c r="J12" s="94"/>
      <c r="K12" s="22">
        <v>53</v>
      </c>
    </row>
    <row r="13" spans="1:11" ht="12" customHeight="1" x14ac:dyDescent="0.25">
      <c r="A13" s="121"/>
      <c r="B13" s="4">
        <v>304</v>
      </c>
      <c r="C13" s="10" t="s">
        <v>5</v>
      </c>
      <c r="D13" s="38">
        <v>35546</v>
      </c>
      <c r="E13" s="18" t="s">
        <v>6</v>
      </c>
      <c r="F13" s="37" t="s">
        <v>7</v>
      </c>
      <c r="G13" s="37" t="s">
        <v>269</v>
      </c>
      <c r="H13" s="37" t="s">
        <v>8</v>
      </c>
      <c r="I13" s="94" t="s">
        <v>327</v>
      </c>
      <c r="J13" s="94"/>
      <c r="K13" s="22">
        <v>89</v>
      </c>
    </row>
    <row r="14" spans="1:11" ht="12" customHeight="1" x14ac:dyDescent="0.25">
      <c r="A14" s="120">
        <v>18</v>
      </c>
      <c r="B14" s="4">
        <v>305</v>
      </c>
      <c r="C14" s="10" t="s">
        <v>328</v>
      </c>
      <c r="D14" s="38">
        <v>36171</v>
      </c>
      <c r="E14" s="11" t="s">
        <v>30</v>
      </c>
      <c r="F14" s="37" t="s">
        <v>450</v>
      </c>
      <c r="G14" s="100"/>
      <c r="H14" s="37" t="s">
        <v>451</v>
      </c>
      <c r="I14" s="94" t="s">
        <v>330</v>
      </c>
      <c r="J14" s="94"/>
      <c r="K14" s="22">
        <v>220</v>
      </c>
    </row>
    <row r="15" spans="1:11" ht="12" customHeight="1" x14ac:dyDescent="0.25">
      <c r="A15" s="122"/>
      <c r="B15" s="4">
        <v>305</v>
      </c>
      <c r="C15" s="10" t="s">
        <v>432</v>
      </c>
      <c r="D15" s="39">
        <v>35925</v>
      </c>
      <c r="E15" s="11" t="s">
        <v>30</v>
      </c>
      <c r="F15" s="37" t="s">
        <v>465</v>
      </c>
      <c r="G15" s="100" t="s">
        <v>269</v>
      </c>
      <c r="H15" s="100" t="s">
        <v>466</v>
      </c>
      <c r="I15" s="94" t="s">
        <v>433</v>
      </c>
      <c r="J15" s="100"/>
      <c r="K15" s="16">
        <v>228</v>
      </c>
    </row>
    <row r="16" spans="1:11" ht="12" customHeight="1" x14ac:dyDescent="0.25">
      <c r="A16" s="121"/>
      <c r="B16" s="4">
        <v>305</v>
      </c>
      <c r="C16" s="10" t="s">
        <v>455</v>
      </c>
      <c r="D16" s="39">
        <v>36029</v>
      </c>
      <c r="E16" s="11" t="s">
        <v>30</v>
      </c>
      <c r="F16" s="100" t="s">
        <v>456</v>
      </c>
      <c r="G16" s="100" t="s">
        <v>381</v>
      </c>
      <c r="H16" s="100" t="s">
        <v>457</v>
      </c>
      <c r="I16" s="92" t="s">
        <v>461</v>
      </c>
      <c r="J16" s="100"/>
      <c r="K16" s="16">
        <v>222</v>
      </c>
    </row>
    <row r="17" spans="1:11" ht="12" customHeight="1" x14ac:dyDescent="0.25">
      <c r="A17" s="120">
        <v>3</v>
      </c>
      <c r="B17" s="4">
        <v>306</v>
      </c>
      <c r="C17" s="10" t="s">
        <v>207</v>
      </c>
      <c r="D17" s="38">
        <v>36860</v>
      </c>
      <c r="E17" s="18" t="s">
        <v>6</v>
      </c>
      <c r="F17" s="37" t="s">
        <v>382</v>
      </c>
      <c r="G17" s="37"/>
      <c r="H17" s="37" t="s">
        <v>208</v>
      </c>
      <c r="I17" s="94" t="s">
        <v>193</v>
      </c>
      <c r="J17" s="94"/>
      <c r="K17" s="22">
        <v>12</v>
      </c>
    </row>
    <row r="18" spans="1:11" ht="12" customHeight="1" x14ac:dyDescent="0.25">
      <c r="A18" s="121"/>
      <c r="B18" s="4">
        <v>306</v>
      </c>
      <c r="C18" s="10" t="s">
        <v>205</v>
      </c>
      <c r="D18" s="38">
        <v>36461</v>
      </c>
      <c r="E18" s="18" t="s">
        <v>6</v>
      </c>
      <c r="F18" s="37" t="s">
        <v>382</v>
      </c>
      <c r="G18" s="37" t="s">
        <v>269</v>
      </c>
      <c r="H18" s="37" t="s">
        <v>33</v>
      </c>
      <c r="I18" s="94" t="s">
        <v>196</v>
      </c>
      <c r="J18" s="94"/>
      <c r="K18" s="22">
        <v>77</v>
      </c>
    </row>
    <row r="19" spans="1:11" ht="12" customHeight="1" x14ac:dyDescent="0.25">
      <c r="A19" s="120">
        <v>19</v>
      </c>
      <c r="B19" s="4">
        <v>307</v>
      </c>
      <c r="C19" s="10"/>
      <c r="D19" s="38"/>
      <c r="E19" s="18"/>
      <c r="F19" s="37"/>
      <c r="G19" s="37"/>
      <c r="H19" s="37"/>
      <c r="I19" s="94"/>
      <c r="J19" s="94"/>
      <c r="K19" s="22"/>
    </row>
    <row r="20" spans="1:11" ht="12" customHeight="1" x14ac:dyDescent="0.25">
      <c r="A20" s="122"/>
      <c r="B20" s="4">
        <v>307</v>
      </c>
      <c r="C20" s="10"/>
      <c r="D20" s="22"/>
      <c r="E20" s="16"/>
      <c r="F20" s="37"/>
      <c r="G20" s="37"/>
      <c r="H20" s="37"/>
      <c r="I20" s="94"/>
      <c r="J20" s="94"/>
      <c r="K20" s="22"/>
    </row>
    <row r="21" spans="1:11" ht="12" customHeight="1" x14ac:dyDescent="0.25">
      <c r="A21" s="121"/>
      <c r="B21" s="4">
        <v>307</v>
      </c>
      <c r="C21" s="25"/>
      <c r="D21" s="16"/>
      <c r="E21" s="16"/>
      <c r="F21" s="100"/>
      <c r="G21" s="100"/>
      <c r="H21" s="100"/>
      <c r="I21" s="100"/>
      <c r="J21" s="100"/>
      <c r="K21" s="16"/>
    </row>
    <row r="22" spans="1:11" ht="12" customHeight="1" x14ac:dyDescent="0.25">
      <c r="A22" s="120">
        <v>4</v>
      </c>
      <c r="B22" s="4">
        <v>308</v>
      </c>
      <c r="C22" s="10" t="s">
        <v>41</v>
      </c>
      <c r="D22" s="38">
        <v>35564</v>
      </c>
      <c r="E22" s="18" t="s">
        <v>6</v>
      </c>
      <c r="F22" s="37" t="s">
        <v>13</v>
      </c>
      <c r="G22" s="37" t="s">
        <v>269</v>
      </c>
      <c r="H22" s="37" t="s">
        <v>42</v>
      </c>
      <c r="I22" s="94" t="s">
        <v>295</v>
      </c>
      <c r="J22" s="94"/>
      <c r="K22" s="22">
        <v>135</v>
      </c>
    </row>
    <row r="23" spans="1:11" ht="12" customHeight="1" x14ac:dyDescent="0.25">
      <c r="A23" s="121"/>
      <c r="B23" s="4">
        <v>308</v>
      </c>
      <c r="C23" s="10" t="s">
        <v>12</v>
      </c>
      <c r="D23" s="38">
        <v>35801</v>
      </c>
      <c r="E23" s="18" t="s">
        <v>6</v>
      </c>
      <c r="F23" s="37" t="s">
        <v>13</v>
      </c>
      <c r="G23" s="37" t="s">
        <v>381</v>
      </c>
      <c r="H23" s="37" t="s">
        <v>14</v>
      </c>
      <c r="I23" s="94" t="s">
        <v>190</v>
      </c>
      <c r="J23" s="94"/>
      <c r="K23" s="22">
        <v>28</v>
      </c>
    </row>
    <row r="24" spans="1:11" ht="12" customHeight="1" x14ac:dyDescent="0.25">
      <c r="A24" s="120">
        <v>20</v>
      </c>
      <c r="B24" s="4">
        <v>309</v>
      </c>
      <c r="C24" s="10" t="s">
        <v>317</v>
      </c>
      <c r="D24" s="38">
        <v>37059</v>
      </c>
      <c r="E24" s="18" t="s">
        <v>30</v>
      </c>
      <c r="F24" s="37" t="s">
        <v>436</v>
      </c>
      <c r="G24" s="37"/>
      <c r="H24" s="37" t="s">
        <v>73</v>
      </c>
      <c r="I24" s="94" t="s">
        <v>327</v>
      </c>
      <c r="J24" s="94"/>
      <c r="K24" s="22">
        <v>212</v>
      </c>
    </row>
    <row r="25" spans="1:11" ht="12" customHeight="1" x14ac:dyDescent="0.25">
      <c r="A25" s="122"/>
      <c r="B25" s="4">
        <v>309</v>
      </c>
      <c r="C25" s="10" t="s">
        <v>318</v>
      </c>
      <c r="D25" s="38">
        <v>36400</v>
      </c>
      <c r="E25" s="18" t="s">
        <v>30</v>
      </c>
      <c r="F25" s="37" t="s">
        <v>438</v>
      </c>
      <c r="G25" s="37"/>
      <c r="H25" s="37" t="s">
        <v>331</v>
      </c>
      <c r="I25" s="94" t="s">
        <v>540</v>
      </c>
      <c r="J25" s="94"/>
      <c r="K25" s="22">
        <v>211</v>
      </c>
    </row>
    <row r="26" spans="1:11" ht="12" customHeight="1" x14ac:dyDescent="0.25">
      <c r="A26" s="121"/>
      <c r="B26" s="4">
        <v>309</v>
      </c>
      <c r="C26" s="10" t="s">
        <v>561</v>
      </c>
      <c r="D26" s="38"/>
      <c r="E26" s="37"/>
      <c r="F26" s="37"/>
      <c r="G26" s="37"/>
      <c r="H26" s="37"/>
      <c r="I26" s="94"/>
      <c r="J26" s="94"/>
      <c r="K26" s="22"/>
    </row>
    <row r="27" spans="1:11" ht="12" customHeight="1" x14ac:dyDescent="0.25">
      <c r="A27" s="120">
        <v>5</v>
      </c>
      <c r="B27" s="4">
        <v>310</v>
      </c>
      <c r="C27" s="10" t="s">
        <v>315</v>
      </c>
      <c r="D27" s="38">
        <v>36554</v>
      </c>
      <c r="E27" s="18" t="s">
        <v>6</v>
      </c>
      <c r="F27" s="37" t="s">
        <v>391</v>
      </c>
      <c r="G27" s="37" t="s">
        <v>381</v>
      </c>
      <c r="H27" s="37" t="s">
        <v>84</v>
      </c>
      <c r="I27" s="94" t="s">
        <v>295</v>
      </c>
      <c r="J27" s="94"/>
      <c r="K27" s="22">
        <v>120</v>
      </c>
    </row>
    <row r="28" spans="1:11" ht="12" customHeight="1" x14ac:dyDescent="0.25">
      <c r="A28" s="121"/>
      <c r="B28" s="4">
        <v>310</v>
      </c>
      <c r="C28" s="10" t="s">
        <v>316</v>
      </c>
      <c r="D28" s="38">
        <v>36739</v>
      </c>
      <c r="E28" s="18" t="s">
        <v>6</v>
      </c>
      <c r="F28" s="37" t="s">
        <v>391</v>
      </c>
      <c r="G28" s="37" t="s">
        <v>381</v>
      </c>
      <c r="H28" s="37" t="s">
        <v>84</v>
      </c>
      <c r="I28" s="94" t="s">
        <v>295</v>
      </c>
      <c r="J28" s="94"/>
      <c r="K28" s="22">
        <v>128</v>
      </c>
    </row>
    <row r="29" spans="1:11" ht="12" customHeight="1" x14ac:dyDescent="0.25">
      <c r="A29" s="120">
        <v>21</v>
      </c>
      <c r="B29" s="4">
        <v>311</v>
      </c>
      <c r="C29" s="10" t="s">
        <v>19</v>
      </c>
      <c r="D29" s="38">
        <v>35742</v>
      </c>
      <c r="E29" s="18" t="s">
        <v>6</v>
      </c>
      <c r="F29" s="37" t="s">
        <v>18</v>
      </c>
      <c r="G29" s="37" t="s">
        <v>381</v>
      </c>
      <c r="H29" s="37" t="s">
        <v>21</v>
      </c>
      <c r="I29" s="94" t="s">
        <v>250</v>
      </c>
      <c r="J29" s="94" t="s">
        <v>20</v>
      </c>
      <c r="K29" s="22">
        <v>122</v>
      </c>
    </row>
    <row r="30" spans="1:11" ht="12" customHeight="1" x14ac:dyDescent="0.25">
      <c r="A30" s="122"/>
      <c r="B30" s="4">
        <v>311</v>
      </c>
      <c r="C30" s="10" t="s">
        <v>22</v>
      </c>
      <c r="D30" s="38">
        <v>35485</v>
      </c>
      <c r="E30" s="18" t="s">
        <v>6</v>
      </c>
      <c r="F30" s="37" t="s">
        <v>23</v>
      </c>
      <c r="G30" s="37" t="s">
        <v>381</v>
      </c>
      <c r="H30" s="37" t="s">
        <v>24</v>
      </c>
      <c r="I30" s="94" t="s">
        <v>319</v>
      </c>
      <c r="J30" s="94"/>
      <c r="K30" s="22">
        <v>63</v>
      </c>
    </row>
    <row r="31" spans="1:11" ht="12" customHeight="1" x14ac:dyDescent="0.25">
      <c r="A31" s="121"/>
      <c r="B31" s="4">
        <v>311</v>
      </c>
      <c r="C31" s="10" t="s">
        <v>25</v>
      </c>
      <c r="D31" s="38">
        <v>35565</v>
      </c>
      <c r="E31" s="18" t="s">
        <v>6</v>
      </c>
      <c r="F31" s="37" t="s">
        <v>23</v>
      </c>
      <c r="G31" s="37" t="s">
        <v>381</v>
      </c>
      <c r="H31" s="37" t="s">
        <v>26</v>
      </c>
      <c r="I31" s="94" t="s">
        <v>190</v>
      </c>
      <c r="J31" s="94"/>
      <c r="K31" s="22">
        <v>95</v>
      </c>
    </row>
    <row r="32" spans="1:11" ht="12" customHeight="1" x14ac:dyDescent="0.25">
      <c r="A32" s="120">
        <v>6</v>
      </c>
      <c r="B32" s="4">
        <v>312</v>
      </c>
      <c r="C32" s="10" t="s">
        <v>72</v>
      </c>
      <c r="D32" s="38">
        <v>36271</v>
      </c>
      <c r="E32" s="18" t="s">
        <v>6</v>
      </c>
      <c r="F32" s="37" t="s">
        <v>37</v>
      </c>
      <c r="G32" s="37" t="s">
        <v>381</v>
      </c>
      <c r="H32" s="37" t="s">
        <v>73</v>
      </c>
      <c r="I32" s="99">
        <v>1497725</v>
      </c>
      <c r="J32" s="94"/>
      <c r="K32" s="22">
        <v>150</v>
      </c>
    </row>
    <row r="33" spans="1:11" ht="12" customHeight="1" x14ac:dyDescent="0.25">
      <c r="A33" s="121"/>
      <c r="B33" s="4">
        <v>312</v>
      </c>
      <c r="C33" s="10" t="s">
        <v>399</v>
      </c>
      <c r="D33" s="38">
        <v>36197</v>
      </c>
      <c r="E33" s="18" t="s">
        <v>6</v>
      </c>
      <c r="F33" s="37" t="s">
        <v>81</v>
      </c>
      <c r="G33" s="37" t="s">
        <v>381</v>
      </c>
      <c r="H33" s="37" t="s">
        <v>168</v>
      </c>
      <c r="I33" s="99">
        <v>1497737</v>
      </c>
      <c r="J33" s="94"/>
      <c r="K33" s="22">
        <v>140</v>
      </c>
    </row>
    <row r="34" spans="1:11" ht="12" customHeight="1" x14ac:dyDescent="0.25">
      <c r="A34" s="120">
        <v>22</v>
      </c>
      <c r="B34" s="4">
        <v>313</v>
      </c>
      <c r="C34" s="10" t="s">
        <v>17</v>
      </c>
      <c r="D34" s="38">
        <v>35728</v>
      </c>
      <c r="E34" s="18" t="s">
        <v>6</v>
      </c>
      <c r="F34" s="37" t="s">
        <v>7</v>
      </c>
      <c r="G34" s="37" t="s">
        <v>269</v>
      </c>
      <c r="H34" s="37" t="s">
        <v>11</v>
      </c>
      <c r="I34" s="94" t="s">
        <v>244</v>
      </c>
      <c r="J34" s="100"/>
      <c r="K34" s="16">
        <v>119</v>
      </c>
    </row>
    <row r="35" spans="1:11" ht="12" customHeight="1" x14ac:dyDescent="0.25">
      <c r="A35" s="122"/>
      <c r="B35" s="4">
        <v>313</v>
      </c>
      <c r="C35" s="10" t="s">
        <v>27</v>
      </c>
      <c r="D35" s="38">
        <v>35587</v>
      </c>
      <c r="E35" s="18" t="s">
        <v>6</v>
      </c>
      <c r="F35" s="37" t="s">
        <v>7</v>
      </c>
      <c r="G35" s="37" t="s">
        <v>381</v>
      </c>
      <c r="H35" s="37" t="s">
        <v>28</v>
      </c>
      <c r="I35" s="94" t="s">
        <v>188</v>
      </c>
      <c r="J35" s="94" t="s">
        <v>189</v>
      </c>
      <c r="K35" s="22">
        <v>18</v>
      </c>
    </row>
    <row r="36" spans="1:11" ht="12" customHeight="1" x14ac:dyDescent="0.25">
      <c r="A36" s="121"/>
      <c r="B36" s="4">
        <v>313</v>
      </c>
      <c r="C36" s="10" t="s">
        <v>201</v>
      </c>
      <c r="D36" s="38">
        <v>36624</v>
      </c>
      <c r="E36" s="18" t="s">
        <v>6</v>
      </c>
      <c r="F36" s="37" t="s">
        <v>387</v>
      </c>
      <c r="G36" s="37" t="s">
        <v>381</v>
      </c>
      <c r="H36" s="37" t="s">
        <v>202</v>
      </c>
      <c r="I36" s="94" t="s">
        <v>199</v>
      </c>
      <c r="J36" s="100"/>
      <c r="K36" s="16">
        <v>111</v>
      </c>
    </row>
    <row r="37" spans="1:11" ht="12" customHeight="1" x14ac:dyDescent="0.25">
      <c r="A37" s="120">
        <v>7</v>
      </c>
      <c r="B37" s="4">
        <v>314</v>
      </c>
      <c r="C37" s="10" t="s">
        <v>194</v>
      </c>
      <c r="D37" s="38">
        <v>36578</v>
      </c>
      <c r="E37" s="18" t="s">
        <v>6</v>
      </c>
      <c r="F37" s="37" t="s">
        <v>195</v>
      </c>
      <c r="G37" s="37" t="s">
        <v>381</v>
      </c>
      <c r="H37" s="37" t="s">
        <v>33</v>
      </c>
      <c r="I37" s="94" t="s">
        <v>196</v>
      </c>
      <c r="J37" s="94"/>
      <c r="K37" s="22">
        <v>65</v>
      </c>
    </row>
    <row r="38" spans="1:11" ht="12" customHeight="1" x14ac:dyDescent="0.25">
      <c r="A38" s="121"/>
      <c r="B38" s="4">
        <v>314</v>
      </c>
      <c r="C38" s="10" t="s">
        <v>29</v>
      </c>
      <c r="D38" s="38">
        <v>35935</v>
      </c>
      <c r="E38" s="18" t="s">
        <v>6</v>
      </c>
      <c r="F38" s="37" t="s">
        <v>308</v>
      </c>
      <c r="G38" s="37" t="s">
        <v>269</v>
      </c>
      <c r="H38" s="37" t="s">
        <v>11</v>
      </c>
      <c r="I38" s="94" t="s">
        <v>224</v>
      </c>
      <c r="J38" s="100"/>
      <c r="K38" s="16">
        <v>107</v>
      </c>
    </row>
    <row r="39" spans="1:11" ht="12" customHeight="1" x14ac:dyDescent="0.25">
      <c r="A39" s="120">
        <v>23</v>
      </c>
      <c r="B39" s="4">
        <v>315</v>
      </c>
      <c r="C39" s="10" t="s">
        <v>546</v>
      </c>
      <c r="D39" s="38">
        <v>36653</v>
      </c>
      <c r="E39" s="18" t="s">
        <v>6</v>
      </c>
      <c r="F39" s="37" t="s">
        <v>391</v>
      </c>
      <c r="G39" s="37" t="s">
        <v>269</v>
      </c>
      <c r="H39" s="37" t="s">
        <v>16</v>
      </c>
      <c r="I39" s="99">
        <v>621250</v>
      </c>
      <c r="J39" s="94"/>
      <c r="K39" s="22">
        <v>263</v>
      </c>
    </row>
    <row r="40" spans="1:11" ht="12" customHeight="1" x14ac:dyDescent="0.25">
      <c r="A40" s="122"/>
      <c r="B40" s="4">
        <v>315</v>
      </c>
      <c r="C40" s="10" t="s">
        <v>204</v>
      </c>
      <c r="D40" s="38">
        <v>36291</v>
      </c>
      <c r="E40" s="18" t="s">
        <v>6</v>
      </c>
      <c r="F40" s="37" t="s">
        <v>197</v>
      </c>
      <c r="G40" s="37" t="s">
        <v>269</v>
      </c>
      <c r="H40" s="37" t="s">
        <v>4</v>
      </c>
      <c r="I40" s="94" t="s">
        <v>196</v>
      </c>
      <c r="J40" s="94"/>
      <c r="K40" s="22">
        <v>9</v>
      </c>
    </row>
    <row r="41" spans="1:11" ht="12" customHeight="1" x14ac:dyDescent="0.25">
      <c r="A41" s="121"/>
      <c r="B41" s="4">
        <v>315</v>
      </c>
      <c r="C41" s="10"/>
      <c r="D41" s="22"/>
      <c r="E41" s="18"/>
      <c r="F41" s="37"/>
      <c r="G41" s="37"/>
      <c r="H41" s="37"/>
      <c r="I41" s="94"/>
      <c r="J41" s="94"/>
      <c r="K41" s="22"/>
    </row>
    <row r="42" spans="1:11" ht="12" customHeight="1" x14ac:dyDescent="0.25">
      <c r="A42" s="120">
        <v>8</v>
      </c>
      <c r="B42" s="4">
        <v>316</v>
      </c>
      <c r="C42" s="10" t="s">
        <v>206</v>
      </c>
      <c r="D42" s="38">
        <v>36576</v>
      </c>
      <c r="E42" s="18" t="s">
        <v>6</v>
      </c>
      <c r="F42" s="37" t="s">
        <v>382</v>
      </c>
      <c r="G42" s="37" t="s">
        <v>269</v>
      </c>
      <c r="H42" s="37" t="s">
        <v>4</v>
      </c>
      <c r="I42" s="94" t="s">
        <v>193</v>
      </c>
      <c r="J42" s="94"/>
      <c r="K42" s="22">
        <v>58</v>
      </c>
    </row>
    <row r="43" spans="1:11" ht="12" customHeight="1" x14ac:dyDescent="0.25">
      <c r="A43" s="121"/>
      <c r="B43" s="4">
        <v>316</v>
      </c>
      <c r="C43" s="10" t="s">
        <v>313</v>
      </c>
      <c r="D43" s="38">
        <v>36440</v>
      </c>
      <c r="E43" s="18" t="s">
        <v>6</v>
      </c>
      <c r="F43" s="37" t="s">
        <v>391</v>
      </c>
      <c r="G43" s="37" t="s">
        <v>381</v>
      </c>
      <c r="H43" s="37" t="s">
        <v>16</v>
      </c>
      <c r="I43" s="94" t="s">
        <v>314</v>
      </c>
      <c r="J43" s="94" t="s">
        <v>189</v>
      </c>
      <c r="K43" s="22">
        <v>116</v>
      </c>
    </row>
    <row r="44" spans="1:11" ht="12" customHeight="1" x14ac:dyDescent="0.25">
      <c r="A44" s="120">
        <v>24</v>
      </c>
      <c r="B44" s="4">
        <v>317</v>
      </c>
      <c r="C44" s="10" t="s">
        <v>67</v>
      </c>
      <c r="D44" s="38">
        <v>35634</v>
      </c>
      <c r="E44" s="18" t="s">
        <v>6</v>
      </c>
      <c r="F44" s="37" t="s">
        <v>55</v>
      </c>
      <c r="G44" s="37" t="s">
        <v>381</v>
      </c>
      <c r="H44" s="37" t="s">
        <v>68</v>
      </c>
      <c r="I44" s="94" t="s">
        <v>320</v>
      </c>
      <c r="J44" s="94" t="s">
        <v>321</v>
      </c>
      <c r="K44" s="22">
        <v>74</v>
      </c>
    </row>
    <row r="45" spans="1:11" ht="12" customHeight="1" x14ac:dyDescent="0.25">
      <c r="A45" s="122"/>
      <c r="B45" s="4">
        <v>317</v>
      </c>
      <c r="C45" s="19" t="s">
        <v>324</v>
      </c>
      <c r="D45" s="39">
        <v>35075</v>
      </c>
      <c r="E45" s="18" t="s">
        <v>6</v>
      </c>
      <c r="F45" s="37" t="s">
        <v>392</v>
      </c>
      <c r="G45" s="37" t="s">
        <v>381</v>
      </c>
      <c r="H45" s="37" t="s">
        <v>104</v>
      </c>
      <c r="I45" s="94">
        <v>0</v>
      </c>
      <c r="J45" s="100" t="s">
        <v>325</v>
      </c>
      <c r="K45" s="16">
        <v>109</v>
      </c>
    </row>
    <row r="46" spans="1:11" ht="12" customHeight="1" x14ac:dyDescent="0.25">
      <c r="A46" s="121"/>
      <c r="B46" s="4">
        <v>317</v>
      </c>
      <c r="C46" s="10" t="s">
        <v>39</v>
      </c>
      <c r="D46" s="38">
        <v>36051</v>
      </c>
      <c r="E46" s="18" t="s">
        <v>6</v>
      </c>
      <c r="F46" s="37" t="s">
        <v>34</v>
      </c>
      <c r="G46" s="37" t="s">
        <v>269</v>
      </c>
      <c r="H46" s="100" t="s">
        <v>40</v>
      </c>
      <c r="I46" s="94" t="s">
        <v>188</v>
      </c>
      <c r="J46" s="94" t="s">
        <v>189</v>
      </c>
      <c r="K46" s="22">
        <v>229</v>
      </c>
    </row>
    <row r="47" spans="1:11" ht="12" customHeight="1" x14ac:dyDescent="0.25">
      <c r="A47" s="120">
        <v>25</v>
      </c>
      <c r="B47" s="4">
        <v>318</v>
      </c>
      <c r="C47" s="10" t="s">
        <v>203</v>
      </c>
      <c r="D47" s="38">
        <v>36456</v>
      </c>
      <c r="E47" s="18" t="s">
        <v>6</v>
      </c>
      <c r="F47" s="37" t="s">
        <v>382</v>
      </c>
      <c r="G47" s="37" t="s">
        <v>269</v>
      </c>
      <c r="H47" s="37" t="s">
        <v>73</v>
      </c>
      <c r="I47" s="94" t="s">
        <v>190</v>
      </c>
      <c r="J47" s="100"/>
      <c r="K47" s="16">
        <v>97</v>
      </c>
    </row>
    <row r="48" spans="1:11" ht="12" customHeight="1" x14ac:dyDescent="0.25">
      <c r="A48" s="122"/>
      <c r="B48" s="4">
        <v>318</v>
      </c>
      <c r="C48" s="10" t="s">
        <v>36</v>
      </c>
      <c r="D48" s="38">
        <v>36140</v>
      </c>
      <c r="E48" s="18" t="s">
        <v>6</v>
      </c>
      <c r="F48" s="37" t="s">
        <v>37</v>
      </c>
      <c r="G48" s="37" t="s">
        <v>381</v>
      </c>
      <c r="H48" s="100" t="s">
        <v>38</v>
      </c>
      <c r="I48" s="94" t="s">
        <v>190</v>
      </c>
      <c r="J48" s="94"/>
      <c r="K48" s="22">
        <v>67</v>
      </c>
    </row>
    <row r="49" spans="1:11" ht="12" customHeight="1" x14ac:dyDescent="0.25">
      <c r="A49" s="121"/>
      <c r="B49" s="4">
        <v>318</v>
      </c>
      <c r="C49" s="34"/>
      <c r="D49" s="42"/>
      <c r="E49" s="34"/>
      <c r="F49" s="85"/>
      <c r="G49" s="85"/>
      <c r="H49" s="85"/>
      <c r="I49" s="85"/>
      <c r="J49" s="85"/>
      <c r="K49" s="34"/>
    </row>
    <row r="50" spans="1:11" ht="12" customHeight="1" x14ac:dyDescent="0.25">
      <c r="A50" s="120">
        <v>26</v>
      </c>
      <c r="B50" s="4">
        <v>319</v>
      </c>
      <c r="C50" s="10" t="s">
        <v>46</v>
      </c>
      <c r="D50" s="38">
        <v>35122</v>
      </c>
      <c r="E50" s="18" t="s">
        <v>6</v>
      </c>
      <c r="F50" s="37" t="s">
        <v>47</v>
      </c>
      <c r="G50" s="37" t="s">
        <v>269</v>
      </c>
      <c r="H50" s="37" t="s">
        <v>4</v>
      </c>
      <c r="I50" s="94" t="s">
        <v>196</v>
      </c>
      <c r="J50" s="94"/>
      <c r="K50" s="22">
        <v>21</v>
      </c>
    </row>
    <row r="51" spans="1:11" ht="12" customHeight="1" x14ac:dyDescent="0.25">
      <c r="A51" s="122"/>
      <c r="B51" s="4">
        <v>319</v>
      </c>
      <c r="C51" s="10" t="s">
        <v>43</v>
      </c>
      <c r="D51" s="38">
        <v>35970</v>
      </c>
      <c r="E51" s="18" t="s">
        <v>6</v>
      </c>
      <c r="F51" s="37" t="s">
        <v>44</v>
      </c>
      <c r="G51" s="37" t="s">
        <v>269</v>
      </c>
      <c r="H51" s="37" t="s">
        <v>4</v>
      </c>
      <c r="I51" s="94" t="s">
        <v>209</v>
      </c>
      <c r="J51" s="94" t="s">
        <v>189</v>
      </c>
      <c r="K51" s="22">
        <v>142</v>
      </c>
    </row>
    <row r="52" spans="1:11" ht="12" customHeight="1" x14ac:dyDescent="0.25">
      <c r="A52" s="121"/>
      <c r="B52" s="4">
        <v>319</v>
      </c>
      <c r="C52" s="10" t="s">
        <v>45</v>
      </c>
      <c r="D52" s="38">
        <v>36042</v>
      </c>
      <c r="E52" s="18" t="s">
        <v>6</v>
      </c>
      <c r="F52" s="37" t="s">
        <v>44</v>
      </c>
      <c r="G52" s="37" t="s">
        <v>269</v>
      </c>
      <c r="H52" s="37" t="s">
        <v>32</v>
      </c>
      <c r="I52" s="94" t="s">
        <v>210</v>
      </c>
      <c r="J52" s="94"/>
      <c r="K52" s="22">
        <v>154</v>
      </c>
    </row>
    <row r="53" spans="1:11" ht="12" customHeight="1" x14ac:dyDescent="0.25">
      <c r="A53" s="120">
        <v>9</v>
      </c>
      <c r="B53" s="4">
        <v>320</v>
      </c>
      <c r="C53" s="10" t="s">
        <v>48</v>
      </c>
      <c r="D53" s="38">
        <v>36454</v>
      </c>
      <c r="E53" s="18" t="s">
        <v>6</v>
      </c>
      <c r="F53" s="37" t="s">
        <v>400</v>
      </c>
      <c r="G53" s="37" t="s">
        <v>269</v>
      </c>
      <c r="H53" s="37" t="s">
        <v>49</v>
      </c>
      <c r="I53" s="94" t="s">
        <v>211</v>
      </c>
      <c r="J53" s="94" t="s">
        <v>189</v>
      </c>
      <c r="K53" s="22">
        <v>152</v>
      </c>
    </row>
    <row r="54" spans="1:11" ht="12" customHeight="1" x14ac:dyDescent="0.25">
      <c r="A54" s="121"/>
      <c r="B54" s="4">
        <v>320</v>
      </c>
      <c r="C54" s="10"/>
      <c r="D54" s="38"/>
      <c r="E54" s="18"/>
      <c r="F54" s="37"/>
      <c r="G54" s="37"/>
      <c r="H54" s="37"/>
      <c r="I54" s="99"/>
      <c r="J54" s="94"/>
      <c r="K54" s="22"/>
    </row>
    <row r="55" spans="1:11" ht="12" customHeight="1" x14ac:dyDescent="0.25">
      <c r="A55" s="120">
        <v>27</v>
      </c>
      <c r="B55" s="4">
        <v>321</v>
      </c>
      <c r="C55" s="10" t="s">
        <v>50</v>
      </c>
      <c r="D55" s="38">
        <v>35992</v>
      </c>
      <c r="E55" s="18" t="s">
        <v>6</v>
      </c>
      <c r="F55" s="37" t="s">
        <v>51</v>
      </c>
      <c r="G55" s="37" t="s">
        <v>381</v>
      </c>
      <c r="H55" s="37" t="s">
        <v>52</v>
      </c>
      <c r="I55" s="94" t="s">
        <v>322</v>
      </c>
      <c r="J55" s="94" t="s">
        <v>323</v>
      </c>
      <c r="K55" s="22">
        <v>100</v>
      </c>
    </row>
    <row r="56" spans="1:11" ht="12" customHeight="1" x14ac:dyDescent="0.25">
      <c r="A56" s="122"/>
      <c r="B56" s="4">
        <v>321</v>
      </c>
      <c r="C56" s="10" t="s">
        <v>215</v>
      </c>
      <c r="D56" s="38">
        <v>35835</v>
      </c>
      <c r="E56" s="18" t="s">
        <v>6</v>
      </c>
      <c r="F56" s="37" t="s">
        <v>388</v>
      </c>
      <c r="G56" s="37" t="s">
        <v>269</v>
      </c>
      <c r="H56" s="37" t="s">
        <v>216</v>
      </c>
      <c r="I56" s="94">
        <v>0</v>
      </c>
      <c r="J56" s="94" t="s">
        <v>402</v>
      </c>
      <c r="K56" s="22">
        <v>15</v>
      </c>
    </row>
    <row r="57" spans="1:11" ht="12" customHeight="1" x14ac:dyDescent="0.25">
      <c r="A57" s="121"/>
      <c r="B57" s="4">
        <v>321</v>
      </c>
      <c r="C57" s="10" t="s">
        <v>53</v>
      </c>
      <c r="D57" s="38">
        <v>36388</v>
      </c>
      <c r="E57" s="18" t="s">
        <v>6</v>
      </c>
      <c r="F57" s="37" t="s">
        <v>51</v>
      </c>
      <c r="G57" s="37" t="s">
        <v>381</v>
      </c>
      <c r="H57" s="37" t="s">
        <v>54</v>
      </c>
      <c r="I57" s="94" t="s">
        <v>295</v>
      </c>
      <c r="J57" s="94"/>
      <c r="K57" s="22">
        <v>115</v>
      </c>
    </row>
    <row r="58" spans="1:11" ht="12" customHeight="1" x14ac:dyDescent="0.25">
      <c r="A58" s="120">
        <v>10</v>
      </c>
      <c r="B58" s="4">
        <v>322</v>
      </c>
      <c r="C58" s="10" t="s">
        <v>217</v>
      </c>
      <c r="D58" s="38">
        <v>36104</v>
      </c>
      <c r="E58" s="18" t="s">
        <v>6</v>
      </c>
      <c r="F58" s="37" t="s">
        <v>388</v>
      </c>
      <c r="G58" s="37" t="s">
        <v>269</v>
      </c>
      <c r="H58" s="37" t="s">
        <v>26</v>
      </c>
      <c r="I58" s="94" t="s">
        <v>196</v>
      </c>
      <c r="J58" s="100"/>
      <c r="K58" s="16">
        <v>61</v>
      </c>
    </row>
    <row r="59" spans="1:11" ht="12" customHeight="1" x14ac:dyDescent="0.25">
      <c r="A59" s="121"/>
      <c r="B59" s="4">
        <v>322</v>
      </c>
      <c r="C59" s="19" t="s">
        <v>218</v>
      </c>
      <c r="D59" s="39">
        <v>36770</v>
      </c>
      <c r="E59" s="18" t="s">
        <v>6</v>
      </c>
      <c r="F59" s="37" t="s">
        <v>219</v>
      </c>
      <c r="G59" s="37" t="s">
        <v>381</v>
      </c>
      <c r="H59" s="37" t="s">
        <v>28</v>
      </c>
      <c r="I59" s="94" t="s">
        <v>196</v>
      </c>
      <c r="J59" s="100"/>
      <c r="K59" s="16">
        <v>79</v>
      </c>
    </row>
    <row r="60" spans="1:11" ht="12" customHeight="1" x14ac:dyDescent="0.25">
      <c r="A60" s="120">
        <v>28</v>
      </c>
      <c r="B60" s="4">
        <v>323</v>
      </c>
      <c r="C60" s="10" t="s">
        <v>56</v>
      </c>
      <c r="D60" s="38">
        <v>35812</v>
      </c>
      <c r="E60" s="18" t="s">
        <v>6</v>
      </c>
      <c r="F60" s="37" t="s">
        <v>7</v>
      </c>
      <c r="G60" s="37" t="s">
        <v>381</v>
      </c>
      <c r="H60" s="37" t="s">
        <v>57</v>
      </c>
      <c r="I60" s="94" t="s">
        <v>190</v>
      </c>
      <c r="J60" s="94"/>
      <c r="K60" s="22">
        <v>101</v>
      </c>
    </row>
    <row r="61" spans="1:11" ht="12" customHeight="1" x14ac:dyDescent="0.25">
      <c r="A61" s="122"/>
      <c r="B61" s="4">
        <v>323</v>
      </c>
      <c r="C61" s="19"/>
      <c r="D61" s="39"/>
      <c r="E61" s="18"/>
      <c r="F61" s="37"/>
      <c r="G61" s="37"/>
      <c r="H61" s="37"/>
      <c r="I61" s="94"/>
      <c r="J61" s="100"/>
      <c r="K61" s="16"/>
    </row>
    <row r="62" spans="1:11" ht="12" customHeight="1" x14ac:dyDescent="0.25">
      <c r="A62" s="121"/>
      <c r="B62" s="4">
        <v>323</v>
      </c>
      <c r="C62" s="70" t="s">
        <v>547</v>
      </c>
      <c r="D62" s="71">
        <v>35534</v>
      </c>
      <c r="E62" s="72" t="s">
        <v>6</v>
      </c>
      <c r="F62" s="88" t="s">
        <v>51</v>
      </c>
      <c r="G62" s="88" t="s">
        <v>269</v>
      </c>
      <c r="H62" s="88" t="s">
        <v>9</v>
      </c>
      <c r="I62" s="93" t="s">
        <v>540</v>
      </c>
      <c r="J62" s="101"/>
      <c r="K62" s="73">
        <v>262</v>
      </c>
    </row>
    <row r="63" spans="1:11" ht="12" customHeight="1" x14ac:dyDescent="0.25">
      <c r="A63" s="120">
        <v>11</v>
      </c>
      <c r="B63" s="4">
        <v>324</v>
      </c>
      <c r="C63" s="10" t="s">
        <v>220</v>
      </c>
      <c r="D63" s="38">
        <v>35974</v>
      </c>
      <c r="E63" s="16" t="s">
        <v>3</v>
      </c>
      <c r="F63" s="37" t="s">
        <v>221</v>
      </c>
      <c r="G63" s="37" t="s">
        <v>269</v>
      </c>
      <c r="H63" s="37" t="s">
        <v>4</v>
      </c>
      <c r="I63" s="94" t="s">
        <v>190</v>
      </c>
      <c r="J63" s="94"/>
      <c r="K63" s="22">
        <v>182</v>
      </c>
    </row>
    <row r="64" spans="1:11" ht="12" customHeight="1" x14ac:dyDescent="0.25">
      <c r="A64" s="121"/>
      <c r="B64" s="4">
        <v>324</v>
      </c>
      <c r="C64" s="10" t="s">
        <v>429</v>
      </c>
      <c r="D64" s="38">
        <v>35224</v>
      </c>
      <c r="E64" s="18" t="s">
        <v>6</v>
      </c>
      <c r="F64" s="37" t="s">
        <v>55</v>
      </c>
      <c r="G64" s="37" t="s">
        <v>381</v>
      </c>
      <c r="H64" s="37" t="s">
        <v>16</v>
      </c>
      <c r="I64" s="94" t="s">
        <v>430</v>
      </c>
      <c r="J64" s="94" t="s">
        <v>431</v>
      </c>
      <c r="K64" s="22">
        <v>223</v>
      </c>
    </row>
    <row r="65" spans="1:11" ht="12" customHeight="1" x14ac:dyDescent="0.25">
      <c r="A65" s="120">
        <v>29</v>
      </c>
      <c r="B65" s="4">
        <v>325</v>
      </c>
      <c r="C65" s="10" t="s">
        <v>58</v>
      </c>
      <c r="D65" s="38">
        <v>35693</v>
      </c>
      <c r="E65" s="18" t="s">
        <v>6</v>
      </c>
      <c r="F65" s="37" t="s">
        <v>18</v>
      </c>
      <c r="G65" s="37" t="s">
        <v>381</v>
      </c>
      <c r="H65" s="37" t="s">
        <v>59</v>
      </c>
      <c r="I65" s="94" t="s">
        <v>190</v>
      </c>
      <c r="J65" s="94"/>
      <c r="K65" s="22">
        <v>105</v>
      </c>
    </row>
    <row r="66" spans="1:11" ht="12" customHeight="1" x14ac:dyDescent="0.25">
      <c r="A66" s="122"/>
      <c r="B66" s="4">
        <v>325</v>
      </c>
      <c r="C66" s="10" t="s">
        <v>60</v>
      </c>
      <c r="D66" s="38">
        <v>35835</v>
      </c>
      <c r="E66" s="18" t="s">
        <v>6</v>
      </c>
      <c r="F66" s="37" t="s">
        <v>7</v>
      </c>
      <c r="G66" s="37" t="s">
        <v>381</v>
      </c>
      <c r="H66" s="37" t="s">
        <v>61</v>
      </c>
      <c r="I66" s="99">
        <v>1497735</v>
      </c>
      <c r="J66" s="94"/>
      <c r="K66" s="22">
        <v>127</v>
      </c>
    </row>
    <row r="67" spans="1:11" ht="12" customHeight="1" x14ac:dyDescent="0.25">
      <c r="A67" s="121"/>
      <c r="B67" s="4">
        <v>325</v>
      </c>
      <c r="C67" s="10" t="s">
        <v>62</v>
      </c>
      <c r="D67" s="38">
        <v>35735</v>
      </c>
      <c r="E67" s="18" t="s">
        <v>6</v>
      </c>
      <c r="F67" s="37" t="s">
        <v>18</v>
      </c>
      <c r="G67" s="37" t="s">
        <v>381</v>
      </c>
      <c r="H67" s="37" t="s">
        <v>59</v>
      </c>
      <c r="I67" s="94" t="s">
        <v>190</v>
      </c>
      <c r="J67" s="94"/>
      <c r="K67" s="22">
        <v>143</v>
      </c>
    </row>
    <row r="68" spans="1:11" ht="12" customHeight="1" x14ac:dyDescent="0.25">
      <c r="A68" s="120">
        <v>30</v>
      </c>
      <c r="B68" s="4">
        <v>326</v>
      </c>
      <c r="C68" s="44" t="s">
        <v>232</v>
      </c>
      <c r="D68" s="48">
        <v>35855</v>
      </c>
      <c r="E68" s="46" t="s">
        <v>6</v>
      </c>
      <c r="F68" s="82" t="s">
        <v>388</v>
      </c>
      <c r="G68" s="82" t="s">
        <v>269</v>
      </c>
      <c r="H68" s="82" t="s">
        <v>10</v>
      </c>
      <c r="I68" s="95" t="s">
        <v>233</v>
      </c>
      <c r="J68" s="95" t="s">
        <v>536</v>
      </c>
      <c r="K68" s="47">
        <v>43</v>
      </c>
    </row>
    <row r="69" spans="1:11" ht="12" customHeight="1" x14ac:dyDescent="0.25">
      <c r="A69" s="122"/>
      <c r="B69" s="4">
        <v>326</v>
      </c>
      <c r="C69" s="44" t="s">
        <v>31</v>
      </c>
      <c r="D69" s="48">
        <v>35234</v>
      </c>
      <c r="E69" s="46" t="s">
        <v>6</v>
      </c>
      <c r="F69" s="82" t="s">
        <v>23</v>
      </c>
      <c r="G69" s="82" t="s">
        <v>269</v>
      </c>
      <c r="H69" s="82" t="s">
        <v>32</v>
      </c>
      <c r="I69" s="95" t="s">
        <v>193</v>
      </c>
      <c r="J69" s="95" t="s">
        <v>537</v>
      </c>
      <c r="K69" s="47">
        <v>19</v>
      </c>
    </row>
    <row r="70" spans="1:11" ht="12" customHeight="1" x14ac:dyDescent="0.25">
      <c r="A70" s="121"/>
      <c r="B70" s="4">
        <v>326</v>
      </c>
      <c r="C70" s="10"/>
      <c r="D70" s="38"/>
      <c r="E70" s="16"/>
      <c r="F70" s="37"/>
      <c r="G70" s="37"/>
      <c r="H70" s="37"/>
      <c r="I70" s="99"/>
      <c r="J70" s="94"/>
      <c r="K70" s="22"/>
    </row>
    <row r="71" spans="1:11" ht="12" customHeight="1" x14ac:dyDescent="0.25">
      <c r="A71" s="120">
        <v>31</v>
      </c>
      <c r="B71" s="4">
        <v>327</v>
      </c>
      <c r="C71" s="10" t="s">
        <v>226</v>
      </c>
      <c r="D71" s="38">
        <v>36513</v>
      </c>
      <c r="E71" s="18" t="s">
        <v>6</v>
      </c>
      <c r="F71" s="37" t="s">
        <v>195</v>
      </c>
      <c r="G71" s="37" t="s">
        <v>381</v>
      </c>
      <c r="H71" s="37" t="s">
        <v>227</v>
      </c>
      <c r="I71" s="94">
        <v>0</v>
      </c>
      <c r="J71" s="94" t="s">
        <v>228</v>
      </c>
      <c r="K71" s="22">
        <v>52</v>
      </c>
    </row>
    <row r="72" spans="1:11" ht="12" customHeight="1" x14ac:dyDescent="0.25">
      <c r="A72" s="122"/>
      <c r="B72" s="4">
        <v>327</v>
      </c>
      <c r="C72" s="10" t="s">
        <v>229</v>
      </c>
      <c r="D72" s="38">
        <v>36803</v>
      </c>
      <c r="E72" s="18" t="s">
        <v>6</v>
      </c>
      <c r="F72" s="37" t="s">
        <v>394</v>
      </c>
      <c r="G72" s="37" t="s">
        <v>269</v>
      </c>
      <c r="H72" s="37" t="s">
        <v>158</v>
      </c>
      <c r="I72" s="94" t="s">
        <v>196</v>
      </c>
      <c r="J72" s="94"/>
      <c r="K72" s="22">
        <v>145</v>
      </c>
    </row>
    <row r="73" spans="1:11" ht="12" customHeight="1" x14ac:dyDescent="0.25">
      <c r="A73" s="121"/>
      <c r="B73" s="4">
        <v>327</v>
      </c>
      <c r="C73" s="10" t="s">
        <v>63</v>
      </c>
      <c r="D73" s="38">
        <v>35703</v>
      </c>
      <c r="E73" s="18" t="s">
        <v>6</v>
      </c>
      <c r="F73" s="37" t="s">
        <v>18</v>
      </c>
      <c r="G73" s="37" t="s">
        <v>381</v>
      </c>
      <c r="H73" s="37" t="s">
        <v>64</v>
      </c>
      <c r="I73" s="94" t="s">
        <v>295</v>
      </c>
      <c r="J73" s="94" t="s">
        <v>476</v>
      </c>
      <c r="K73" s="22">
        <v>121</v>
      </c>
    </row>
    <row r="74" spans="1:11" ht="12" customHeight="1" x14ac:dyDescent="0.25">
      <c r="A74" s="120">
        <v>13</v>
      </c>
      <c r="B74" s="4">
        <v>328</v>
      </c>
      <c r="C74" s="10" t="s">
        <v>65</v>
      </c>
      <c r="D74" s="38">
        <v>35033</v>
      </c>
      <c r="E74" s="18" t="s">
        <v>3</v>
      </c>
      <c r="F74" s="37" t="s">
        <v>401</v>
      </c>
      <c r="G74" s="37" t="s">
        <v>381</v>
      </c>
      <c r="H74" s="37" t="s">
        <v>11</v>
      </c>
      <c r="I74" s="94" t="s">
        <v>193</v>
      </c>
      <c r="J74" s="94"/>
      <c r="K74" s="22">
        <v>196</v>
      </c>
    </row>
    <row r="75" spans="1:11" ht="12" customHeight="1" x14ac:dyDescent="0.25">
      <c r="A75" s="121"/>
      <c r="B75" s="4">
        <v>328</v>
      </c>
      <c r="C75" s="10" t="s">
        <v>66</v>
      </c>
      <c r="D75" s="38">
        <v>34043</v>
      </c>
      <c r="E75" s="18" t="s">
        <v>3</v>
      </c>
      <c r="F75" s="37" t="s">
        <v>401</v>
      </c>
      <c r="G75" s="37" t="s">
        <v>381</v>
      </c>
      <c r="H75" s="37" t="s">
        <v>11</v>
      </c>
      <c r="I75" s="99">
        <v>1497736</v>
      </c>
      <c r="J75" s="94"/>
      <c r="K75" s="22">
        <v>158</v>
      </c>
    </row>
    <row r="76" spans="1:11" ht="12" customHeight="1" x14ac:dyDescent="0.25">
      <c r="A76" s="120">
        <v>32</v>
      </c>
      <c r="B76" s="4">
        <v>329</v>
      </c>
      <c r="C76" s="10" t="s">
        <v>541</v>
      </c>
      <c r="D76" s="38">
        <v>36656</v>
      </c>
      <c r="E76" s="18" t="s">
        <v>6</v>
      </c>
      <c r="F76" s="37" t="s">
        <v>389</v>
      </c>
      <c r="G76" s="37" t="s">
        <v>381</v>
      </c>
      <c r="H76" s="37" t="s">
        <v>198</v>
      </c>
      <c r="I76" s="94" t="s">
        <v>199</v>
      </c>
      <c r="J76" s="94" t="s">
        <v>545</v>
      </c>
      <c r="K76" s="22">
        <v>37</v>
      </c>
    </row>
    <row r="77" spans="1:11" ht="12" customHeight="1" x14ac:dyDescent="0.25">
      <c r="A77" s="122"/>
      <c r="B77" s="4">
        <v>329</v>
      </c>
      <c r="C77" s="10" t="s">
        <v>200</v>
      </c>
      <c r="D77" s="38">
        <v>36462</v>
      </c>
      <c r="E77" s="18" t="s">
        <v>6</v>
      </c>
      <c r="F77" s="37" t="s">
        <v>197</v>
      </c>
      <c r="G77" s="37" t="s">
        <v>381</v>
      </c>
      <c r="H77" s="37" t="s">
        <v>33</v>
      </c>
      <c r="I77" s="94" t="s">
        <v>196</v>
      </c>
      <c r="J77" s="94"/>
      <c r="K77" s="22">
        <v>38</v>
      </c>
    </row>
    <row r="78" spans="1:11" ht="12" customHeight="1" x14ac:dyDescent="0.25">
      <c r="A78" s="121"/>
      <c r="B78" s="4">
        <v>329</v>
      </c>
      <c r="C78" s="10"/>
      <c r="D78" s="38"/>
      <c r="E78" s="18"/>
      <c r="F78" s="37"/>
      <c r="G78" s="37"/>
      <c r="H78" s="37"/>
      <c r="I78" s="94"/>
      <c r="J78" s="100"/>
      <c r="K78" s="16"/>
    </row>
    <row r="79" spans="1:11" ht="12" customHeight="1" x14ac:dyDescent="0.25">
      <c r="A79" s="120">
        <v>14</v>
      </c>
      <c r="B79" s="4">
        <v>330</v>
      </c>
      <c r="C79" s="10" t="s">
        <v>69</v>
      </c>
      <c r="D79" s="38">
        <v>36208</v>
      </c>
      <c r="E79" s="18" t="s">
        <v>6</v>
      </c>
      <c r="F79" s="37" t="s">
        <v>70</v>
      </c>
      <c r="G79" s="37" t="s">
        <v>381</v>
      </c>
      <c r="H79" s="100" t="s">
        <v>71</v>
      </c>
      <c r="I79" s="94" t="s">
        <v>193</v>
      </c>
      <c r="J79" s="102"/>
      <c r="K79" s="23">
        <v>133</v>
      </c>
    </row>
    <row r="80" spans="1:11" ht="12" customHeight="1" x14ac:dyDescent="0.25">
      <c r="A80" s="121"/>
      <c r="B80" s="4">
        <v>330</v>
      </c>
      <c r="C80" s="10" t="s">
        <v>74</v>
      </c>
      <c r="D80" s="38">
        <v>36480</v>
      </c>
      <c r="E80" s="18" t="s">
        <v>6</v>
      </c>
      <c r="F80" s="37" t="s">
        <v>37</v>
      </c>
      <c r="G80" s="37" t="s">
        <v>381</v>
      </c>
      <c r="H80" s="37" t="s">
        <v>75</v>
      </c>
      <c r="I80" s="94" t="s">
        <v>193</v>
      </c>
      <c r="J80" s="94"/>
      <c r="K80" s="22">
        <v>3</v>
      </c>
    </row>
    <row r="81" spans="1:11" ht="12" customHeight="1" x14ac:dyDescent="0.25">
      <c r="A81" s="120">
        <v>33</v>
      </c>
      <c r="B81" s="4">
        <v>331</v>
      </c>
      <c r="C81" s="10" t="s">
        <v>485</v>
      </c>
      <c r="D81" s="38">
        <v>35609</v>
      </c>
      <c r="E81" s="18" t="s">
        <v>6</v>
      </c>
      <c r="F81" s="37" t="s">
        <v>55</v>
      </c>
      <c r="G81" s="37" t="s">
        <v>381</v>
      </c>
      <c r="H81" s="100" t="s">
        <v>274</v>
      </c>
      <c r="I81" s="99">
        <v>402037</v>
      </c>
      <c r="J81" s="94" t="s">
        <v>189</v>
      </c>
      <c r="K81" s="22">
        <v>245</v>
      </c>
    </row>
    <row r="82" spans="1:11" ht="12" customHeight="1" x14ac:dyDescent="0.25">
      <c r="A82" s="122"/>
      <c r="B82" s="4">
        <v>331</v>
      </c>
      <c r="C82" s="10" t="s">
        <v>230</v>
      </c>
      <c r="D82" s="38">
        <v>36101</v>
      </c>
      <c r="E82" s="18" t="s">
        <v>6</v>
      </c>
      <c r="F82" s="37" t="s">
        <v>383</v>
      </c>
      <c r="G82" s="37" t="s">
        <v>381</v>
      </c>
      <c r="H82" s="37" t="s">
        <v>231</v>
      </c>
      <c r="I82" s="94" t="s">
        <v>193</v>
      </c>
      <c r="J82" s="94"/>
      <c r="K82" s="22">
        <v>151</v>
      </c>
    </row>
    <row r="83" spans="1:11" ht="12" customHeight="1" x14ac:dyDescent="0.25">
      <c r="A83" s="121"/>
      <c r="B83" s="4">
        <v>331</v>
      </c>
      <c r="C83" s="10" t="s">
        <v>76</v>
      </c>
      <c r="D83" s="38">
        <v>36345</v>
      </c>
      <c r="E83" s="18" t="s">
        <v>6</v>
      </c>
      <c r="F83" s="37" t="s">
        <v>70</v>
      </c>
      <c r="G83" s="37" t="s">
        <v>269</v>
      </c>
      <c r="H83" s="37" t="s">
        <v>77</v>
      </c>
      <c r="I83" s="94" t="s">
        <v>462</v>
      </c>
      <c r="J83" s="94"/>
      <c r="K83" s="22">
        <v>84</v>
      </c>
    </row>
    <row r="84" spans="1:11" ht="12" customHeight="1" x14ac:dyDescent="0.25">
      <c r="A84" s="120">
        <v>15</v>
      </c>
      <c r="B84" s="4">
        <v>332</v>
      </c>
      <c r="C84" s="10" t="s">
        <v>234</v>
      </c>
      <c r="D84" s="38">
        <v>35961</v>
      </c>
      <c r="E84" s="18" t="s">
        <v>6</v>
      </c>
      <c r="F84" s="37" t="s">
        <v>383</v>
      </c>
      <c r="G84" s="37" t="s">
        <v>269</v>
      </c>
      <c r="H84" s="37" t="s">
        <v>121</v>
      </c>
      <c r="I84" s="94" t="s">
        <v>193</v>
      </c>
      <c r="J84" s="94"/>
      <c r="K84" s="22">
        <v>36</v>
      </c>
    </row>
    <row r="85" spans="1:11" ht="12" customHeight="1" x14ac:dyDescent="0.25">
      <c r="A85" s="121"/>
      <c r="B85" s="4">
        <v>332</v>
      </c>
      <c r="C85" s="10" t="s">
        <v>78</v>
      </c>
      <c r="D85" s="38">
        <v>33846</v>
      </c>
      <c r="E85" s="18" t="s">
        <v>3</v>
      </c>
      <c r="F85" s="37" t="s">
        <v>401</v>
      </c>
      <c r="G85" s="37" t="s">
        <v>381</v>
      </c>
      <c r="H85" s="37" t="s">
        <v>79</v>
      </c>
      <c r="I85" s="99">
        <v>1497737</v>
      </c>
      <c r="J85" s="94"/>
      <c r="K85" s="22">
        <v>193</v>
      </c>
    </row>
    <row r="86" spans="1:11" ht="12" customHeight="1" x14ac:dyDescent="0.25">
      <c r="A86" s="120">
        <v>34</v>
      </c>
      <c r="B86" s="4">
        <v>333</v>
      </c>
      <c r="C86" s="10" t="s">
        <v>85</v>
      </c>
      <c r="D86" s="38">
        <v>36328</v>
      </c>
      <c r="E86" s="18" t="s">
        <v>6</v>
      </c>
      <c r="F86" s="37" t="s">
        <v>34</v>
      </c>
      <c r="G86" s="37" t="s">
        <v>381</v>
      </c>
      <c r="H86" s="37" t="s">
        <v>4</v>
      </c>
      <c r="I86" s="94" t="s">
        <v>193</v>
      </c>
      <c r="J86" s="94"/>
      <c r="K86" s="22">
        <v>139</v>
      </c>
    </row>
    <row r="87" spans="1:11" ht="12" customHeight="1" x14ac:dyDescent="0.25">
      <c r="A87" s="122"/>
      <c r="B87" s="4">
        <v>333</v>
      </c>
      <c r="C87" s="10" t="s">
        <v>83</v>
      </c>
      <c r="D87" s="38">
        <v>36475</v>
      </c>
      <c r="E87" s="18" t="s">
        <v>6</v>
      </c>
      <c r="F87" s="37" t="s">
        <v>81</v>
      </c>
      <c r="G87" s="37" t="s">
        <v>381</v>
      </c>
      <c r="H87" s="37" t="s">
        <v>84</v>
      </c>
      <c r="I87" s="94" t="s">
        <v>295</v>
      </c>
      <c r="J87" s="94"/>
      <c r="K87" s="22">
        <v>125</v>
      </c>
    </row>
    <row r="88" spans="1:11" ht="12" customHeight="1" x14ac:dyDescent="0.25">
      <c r="A88" s="121"/>
      <c r="B88" s="4">
        <v>333</v>
      </c>
      <c r="C88" s="10" t="s">
        <v>80</v>
      </c>
      <c r="D88" s="38">
        <v>36564</v>
      </c>
      <c r="E88" s="18" t="s">
        <v>6</v>
      </c>
      <c r="F88" s="37" t="s">
        <v>81</v>
      </c>
      <c r="G88" s="37" t="s">
        <v>381</v>
      </c>
      <c r="H88" s="37" t="s">
        <v>82</v>
      </c>
      <c r="I88" s="94" t="s">
        <v>235</v>
      </c>
      <c r="J88" s="94"/>
      <c r="K88" s="22">
        <v>91</v>
      </c>
    </row>
    <row r="89" spans="1:11" ht="12" customHeight="1" x14ac:dyDescent="0.25">
      <c r="A89" s="120">
        <v>16</v>
      </c>
      <c r="B89" s="4">
        <v>334</v>
      </c>
      <c r="C89" s="10" t="s">
        <v>86</v>
      </c>
      <c r="D89" s="38">
        <v>35585</v>
      </c>
      <c r="E89" s="18" t="s">
        <v>6</v>
      </c>
      <c r="F89" s="37" t="s">
        <v>7</v>
      </c>
      <c r="G89" s="37" t="s">
        <v>269</v>
      </c>
      <c r="H89" s="37" t="s">
        <v>11</v>
      </c>
      <c r="I89" s="94" t="s">
        <v>236</v>
      </c>
      <c r="J89" s="94"/>
      <c r="K89" s="22">
        <v>23</v>
      </c>
    </row>
    <row r="90" spans="1:11" ht="12" customHeight="1" x14ac:dyDescent="0.25">
      <c r="A90" s="121"/>
      <c r="B90" s="4">
        <v>334</v>
      </c>
      <c r="C90" s="10"/>
      <c r="D90" s="38"/>
      <c r="E90" s="18"/>
      <c r="F90" s="37"/>
      <c r="G90" s="37"/>
      <c r="H90" s="37"/>
      <c r="I90" s="94"/>
      <c r="J90" s="94"/>
      <c r="K90" s="22"/>
    </row>
    <row r="91" spans="1:11" ht="12" customHeight="1" x14ac:dyDescent="0.25">
      <c r="A91" s="120">
        <v>12</v>
      </c>
      <c r="B91" s="26">
        <v>335</v>
      </c>
      <c r="C91" s="10"/>
      <c r="D91" s="22"/>
      <c r="E91" s="16"/>
      <c r="F91" s="37"/>
      <c r="G91" s="37"/>
      <c r="H91" s="37"/>
      <c r="I91" s="94"/>
      <c r="J91" s="94"/>
      <c r="K91" s="22"/>
    </row>
    <row r="92" spans="1:11" ht="12" customHeight="1" x14ac:dyDescent="0.25">
      <c r="A92" s="121"/>
      <c r="B92" s="26">
        <v>335</v>
      </c>
      <c r="C92" s="10"/>
      <c r="D92" s="22"/>
      <c r="E92" s="16"/>
      <c r="F92" s="37"/>
      <c r="G92" s="37"/>
      <c r="H92" s="37"/>
      <c r="I92" s="94"/>
      <c r="J92" s="94"/>
      <c r="K92" s="22"/>
    </row>
    <row r="93" spans="1:11" x14ac:dyDescent="0.25">
      <c r="F93" s="103"/>
      <c r="G93" s="103"/>
      <c r="H93" s="103"/>
      <c r="I93" s="103"/>
      <c r="J93" s="103"/>
    </row>
  </sheetData>
  <sortState ref="C9:K11">
    <sortCondition ref="C9"/>
  </sortState>
  <mergeCells count="36">
    <mergeCell ref="B1:J1"/>
    <mergeCell ref="A3:A6"/>
    <mergeCell ref="A7:A8"/>
    <mergeCell ref="A9:A11"/>
    <mergeCell ref="A12:A13"/>
    <mergeCell ref="A14:A16"/>
    <mergeCell ref="A17:A18"/>
    <mergeCell ref="A19:A21"/>
    <mergeCell ref="A22:A23"/>
    <mergeCell ref="A24:A26"/>
    <mergeCell ref="A27:A28"/>
    <mergeCell ref="A29:A31"/>
    <mergeCell ref="A32:A33"/>
    <mergeCell ref="A34:A36"/>
    <mergeCell ref="A37:A38"/>
    <mergeCell ref="A39:A41"/>
    <mergeCell ref="A42:A43"/>
    <mergeCell ref="A44:A46"/>
    <mergeCell ref="A47:A49"/>
    <mergeCell ref="A50:A52"/>
    <mergeCell ref="A53:A54"/>
    <mergeCell ref="A55:A57"/>
    <mergeCell ref="A58:A59"/>
    <mergeCell ref="A60:A62"/>
    <mergeCell ref="A63:A64"/>
    <mergeCell ref="A65:A67"/>
    <mergeCell ref="A68:A70"/>
    <mergeCell ref="A71:A73"/>
    <mergeCell ref="A74:A75"/>
    <mergeCell ref="A76:A78"/>
    <mergeCell ref="A91:A92"/>
    <mergeCell ref="A79:A80"/>
    <mergeCell ref="A81:A83"/>
    <mergeCell ref="A84:A85"/>
    <mergeCell ref="A86:A88"/>
    <mergeCell ref="A89:A90"/>
  </mergeCells>
  <pageMargins left="0.39370078740157483" right="0.39370078740157483" top="0.19685039370078741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A58" workbookViewId="0">
      <selection activeCell="D99" sqref="D99"/>
    </sheetView>
  </sheetViews>
  <sheetFormatPr defaultRowHeight="15" x14ac:dyDescent="0.25"/>
  <cols>
    <col min="1" max="1" width="5.5703125" customWidth="1"/>
    <col min="2" max="2" width="5.7109375" customWidth="1"/>
    <col min="3" max="3" width="36.5703125" customWidth="1"/>
    <col min="4" max="4" width="10.28515625" customWidth="1"/>
    <col min="5" max="5" width="7.7109375" customWidth="1"/>
    <col min="6" max="6" width="11.7109375" customWidth="1"/>
    <col min="7" max="7" width="3.42578125" customWidth="1"/>
    <col min="8" max="8" width="28.7109375" customWidth="1"/>
    <col min="9" max="9" width="10.7109375" customWidth="1"/>
    <col min="10" max="11" width="8.7109375" customWidth="1"/>
  </cols>
  <sheetData>
    <row r="1" spans="1:11" ht="22.5" customHeight="1" x14ac:dyDescent="0.3">
      <c r="B1" s="123" t="s">
        <v>91</v>
      </c>
      <c r="C1" s="123"/>
      <c r="D1" s="123"/>
      <c r="E1" s="123"/>
      <c r="F1" s="123"/>
      <c r="G1" s="123"/>
      <c r="H1" s="123"/>
      <c r="I1" s="123"/>
      <c r="J1" s="123"/>
      <c r="K1" s="123"/>
    </row>
    <row r="2" spans="1:11" ht="25.5" customHeight="1" x14ac:dyDescent="0.25">
      <c r="A2" s="1" t="s">
        <v>557</v>
      </c>
      <c r="B2" s="1" t="s">
        <v>90</v>
      </c>
      <c r="C2" s="1" t="s">
        <v>0</v>
      </c>
      <c r="D2" s="1" t="s">
        <v>378</v>
      </c>
      <c r="E2" s="1" t="s">
        <v>1</v>
      </c>
      <c r="F2" s="1" t="s">
        <v>88</v>
      </c>
      <c r="G2" s="1" t="s">
        <v>380</v>
      </c>
      <c r="H2" s="1" t="s">
        <v>2</v>
      </c>
      <c r="I2" s="1" t="s">
        <v>87</v>
      </c>
      <c r="J2" s="1" t="s">
        <v>89</v>
      </c>
      <c r="K2" s="1" t="s">
        <v>379</v>
      </c>
    </row>
    <row r="3" spans="1:11" ht="12" customHeight="1" x14ac:dyDescent="0.25">
      <c r="A3" s="120">
        <v>1</v>
      </c>
      <c r="B3" s="4">
        <v>401</v>
      </c>
      <c r="C3" s="10" t="s">
        <v>93</v>
      </c>
      <c r="D3" s="27">
        <v>36140</v>
      </c>
      <c r="E3" s="18" t="s">
        <v>6</v>
      </c>
      <c r="F3" s="37" t="s">
        <v>44</v>
      </c>
      <c r="G3" s="37" t="s">
        <v>269</v>
      </c>
      <c r="H3" s="37" t="s">
        <v>94</v>
      </c>
      <c r="I3" s="94" t="s">
        <v>190</v>
      </c>
      <c r="J3" s="94"/>
      <c r="K3" s="22">
        <v>153</v>
      </c>
    </row>
    <row r="4" spans="1:11" ht="12" customHeight="1" x14ac:dyDescent="0.25">
      <c r="A4" s="121"/>
      <c r="B4" s="4">
        <v>401</v>
      </c>
      <c r="C4" s="10" t="s">
        <v>95</v>
      </c>
      <c r="D4" s="27">
        <v>35973</v>
      </c>
      <c r="E4" s="18" t="s">
        <v>6</v>
      </c>
      <c r="F4" s="37" t="s">
        <v>44</v>
      </c>
      <c r="G4" s="37" t="s">
        <v>269</v>
      </c>
      <c r="H4" s="37" t="s">
        <v>94</v>
      </c>
      <c r="I4" s="94" t="s">
        <v>190</v>
      </c>
      <c r="J4" s="94"/>
      <c r="K4" s="22">
        <v>31</v>
      </c>
    </row>
    <row r="5" spans="1:11" ht="12" customHeight="1" x14ac:dyDescent="0.25">
      <c r="A5" s="120">
        <v>18</v>
      </c>
      <c r="B5" s="4">
        <v>402</v>
      </c>
      <c r="C5" s="44" t="s">
        <v>237</v>
      </c>
      <c r="D5" s="45">
        <v>36551</v>
      </c>
      <c r="E5" s="46" t="s">
        <v>6</v>
      </c>
      <c r="F5" s="82" t="s">
        <v>382</v>
      </c>
      <c r="G5" s="82" t="s">
        <v>269</v>
      </c>
      <c r="H5" s="82" t="s">
        <v>238</v>
      </c>
      <c r="I5" s="95" t="s">
        <v>190</v>
      </c>
      <c r="J5" s="95" t="s">
        <v>538</v>
      </c>
      <c r="K5" s="47">
        <v>24</v>
      </c>
    </row>
    <row r="6" spans="1:11" ht="12" customHeight="1" x14ac:dyDescent="0.25">
      <c r="A6" s="122"/>
      <c r="B6" s="4">
        <v>402</v>
      </c>
      <c r="C6" s="10" t="s">
        <v>96</v>
      </c>
      <c r="D6" s="27">
        <v>35907</v>
      </c>
      <c r="E6" s="18" t="s">
        <v>6</v>
      </c>
      <c r="F6" s="37" t="s">
        <v>97</v>
      </c>
      <c r="G6" s="37" t="s">
        <v>269</v>
      </c>
      <c r="H6" s="37" t="s">
        <v>26</v>
      </c>
      <c r="I6" s="94" t="s">
        <v>193</v>
      </c>
      <c r="J6" s="94"/>
      <c r="K6" s="22">
        <v>14</v>
      </c>
    </row>
    <row r="7" spans="1:11" ht="12" customHeight="1" x14ac:dyDescent="0.25">
      <c r="A7" s="122"/>
      <c r="B7" s="4">
        <v>402</v>
      </c>
      <c r="C7" s="10" t="s">
        <v>148</v>
      </c>
      <c r="D7" s="27">
        <v>35912</v>
      </c>
      <c r="E7" s="18" t="s">
        <v>6</v>
      </c>
      <c r="F7" s="37" t="s">
        <v>97</v>
      </c>
      <c r="G7" s="37" t="s">
        <v>381</v>
      </c>
      <c r="H7" s="37" t="s">
        <v>75</v>
      </c>
      <c r="I7" s="94" t="s">
        <v>239</v>
      </c>
      <c r="J7" s="94"/>
      <c r="K7" s="22">
        <v>29</v>
      </c>
    </row>
    <row r="8" spans="1:11" ht="12" customHeight="1" x14ac:dyDescent="0.25">
      <c r="A8" s="121"/>
      <c r="B8" s="4">
        <v>402</v>
      </c>
      <c r="C8" s="10"/>
      <c r="D8" s="27"/>
      <c r="E8" s="18"/>
      <c r="F8" s="37"/>
      <c r="G8" s="37"/>
      <c r="H8" s="37"/>
      <c r="I8" s="94"/>
      <c r="J8" s="94"/>
      <c r="K8" s="22"/>
    </row>
    <row r="9" spans="1:11" ht="12" customHeight="1" x14ac:dyDescent="0.25">
      <c r="A9" s="120">
        <v>2</v>
      </c>
      <c r="B9" s="4">
        <v>403</v>
      </c>
      <c r="C9" s="10" t="s">
        <v>240</v>
      </c>
      <c r="D9" s="27">
        <v>36706</v>
      </c>
      <c r="E9" s="18" t="s">
        <v>6</v>
      </c>
      <c r="F9" s="37" t="s">
        <v>392</v>
      </c>
      <c r="G9" s="37" t="s">
        <v>381</v>
      </c>
      <c r="H9" s="37" t="s">
        <v>57</v>
      </c>
      <c r="I9" s="94" t="s">
        <v>241</v>
      </c>
      <c r="J9" s="94" t="s">
        <v>242</v>
      </c>
      <c r="K9" s="22">
        <v>144</v>
      </c>
    </row>
    <row r="10" spans="1:11" ht="12" customHeight="1" x14ac:dyDescent="0.25">
      <c r="A10" s="121"/>
      <c r="B10" s="4">
        <v>403</v>
      </c>
      <c r="C10" s="34"/>
      <c r="D10" s="34"/>
      <c r="E10" s="34"/>
      <c r="F10" s="85"/>
      <c r="G10" s="85"/>
      <c r="H10" s="85"/>
      <c r="I10" s="85"/>
      <c r="J10" s="85"/>
      <c r="K10" s="34"/>
    </row>
    <row r="11" spans="1:11" ht="12" customHeight="1" x14ac:dyDescent="0.25">
      <c r="A11" s="120">
        <v>19</v>
      </c>
      <c r="B11" s="4">
        <v>404</v>
      </c>
      <c r="C11" s="10" t="s">
        <v>98</v>
      </c>
      <c r="D11" s="27">
        <v>36350</v>
      </c>
      <c r="E11" s="18" t="s">
        <v>6</v>
      </c>
      <c r="F11" s="37" t="s">
        <v>97</v>
      </c>
      <c r="G11" s="37" t="s">
        <v>269</v>
      </c>
      <c r="H11" s="37" t="s">
        <v>99</v>
      </c>
      <c r="I11" s="94" t="s">
        <v>249</v>
      </c>
      <c r="J11" s="94" t="s">
        <v>189</v>
      </c>
      <c r="K11" s="22">
        <v>2</v>
      </c>
    </row>
    <row r="12" spans="1:11" ht="12" customHeight="1" x14ac:dyDescent="0.25">
      <c r="A12" s="122"/>
      <c r="B12" s="4">
        <v>404</v>
      </c>
      <c r="C12" s="10" t="s">
        <v>127</v>
      </c>
      <c r="D12" s="27">
        <v>35693</v>
      </c>
      <c r="E12" s="18" t="s">
        <v>6</v>
      </c>
      <c r="F12" s="37" t="s">
        <v>47</v>
      </c>
      <c r="G12" s="37" t="s">
        <v>269</v>
      </c>
      <c r="H12" s="37" t="s">
        <v>114</v>
      </c>
      <c r="I12" s="94" t="s">
        <v>193</v>
      </c>
      <c r="J12" s="94"/>
      <c r="K12" s="22">
        <v>118</v>
      </c>
    </row>
    <row r="13" spans="1:11" ht="12" customHeight="1" x14ac:dyDescent="0.25">
      <c r="A13" s="121"/>
      <c r="B13" s="4">
        <v>404</v>
      </c>
      <c r="C13" s="10" t="s">
        <v>100</v>
      </c>
      <c r="D13" s="27">
        <v>36418</v>
      </c>
      <c r="E13" s="18" t="s">
        <v>6</v>
      </c>
      <c r="F13" s="37" t="s">
        <v>97</v>
      </c>
      <c r="G13" s="37" t="s">
        <v>269</v>
      </c>
      <c r="H13" s="37" t="s">
        <v>101</v>
      </c>
      <c r="I13" s="94" t="s">
        <v>245</v>
      </c>
      <c r="J13" s="94"/>
      <c r="K13" s="22">
        <v>156</v>
      </c>
    </row>
    <row r="14" spans="1:11" ht="12" customHeight="1" x14ac:dyDescent="0.25">
      <c r="A14" s="120">
        <v>3</v>
      </c>
      <c r="B14" s="4">
        <v>405</v>
      </c>
      <c r="C14" s="15" t="s">
        <v>353</v>
      </c>
      <c r="D14" s="17">
        <v>36406</v>
      </c>
      <c r="E14" s="18" t="s">
        <v>6</v>
      </c>
      <c r="F14" s="37" t="s">
        <v>387</v>
      </c>
      <c r="G14" s="37" t="s">
        <v>381</v>
      </c>
      <c r="H14" s="37" t="s">
        <v>4</v>
      </c>
      <c r="I14" s="37" t="s">
        <v>193</v>
      </c>
      <c r="J14" s="96"/>
      <c r="K14" s="22">
        <v>51</v>
      </c>
    </row>
    <row r="15" spans="1:11" ht="12" customHeight="1" x14ac:dyDescent="0.25">
      <c r="A15" s="121"/>
      <c r="B15" s="4">
        <v>405</v>
      </c>
      <c r="C15" s="10" t="s">
        <v>396</v>
      </c>
      <c r="D15" s="27">
        <v>36691</v>
      </c>
      <c r="E15" s="18" t="s">
        <v>6</v>
      </c>
      <c r="F15" s="37" t="s">
        <v>387</v>
      </c>
      <c r="G15" s="37" t="s">
        <v>381</v>
      </c>
      <c r="H15" s="37" t="s">
        <v>331</v>
      </c>
      <c r="I15" s="87" t="s">
        <v>362</v>
      </c>
      <c r="J15" s="94"/>
      <c r="K15" s="22">
        <v>108</v>
      </c>
    </row>
    <row r="16" spans="1:11" ht="12" customHeight="1" x14ac:dyDescent="0.25">
      <c r="A16" s="120">
        <v>20</v>
      </c>
      <c r="B16" s="4">
        <v>406</v>
      </c>
      <c r="C16" s="10" t="s">
        <v>119</v>
      </c>
      <c r="D16" s="27">
        <v>36136</v>
      </c>
      <c r="E16" s="18" t="s">
        <v>6</v>
      </c>
      <c r="F16" s="37" t="s">
        <v>70</v>
      </c>
      <c r="G16" s="37" t="s">
        <v>381</v>
      </c>
      <c r="H16" s="37" t="s">
        <v>32</v>
      </c>
      <c r="I16" s="94" t="s">
        <v>249</v>
      </c>
      <c r="J16" s="94" t="s">
        <v>248</v>
      </c>
      <c r="K16" s="22">
        <v>83</v>
      </c>
    </row>
    <row r="17" spans="1:11" ht="12" customHeight="1" x14ac:dyDescent="0.25">
      <c r="A17" s="122"/>
      <c r="B17" s="4">
        <v>406</v>
      </c>
      <c r="C17" s="10" t="s">
        <v>102</v>
      </c>
      <c r="D17" s="27">
        <v>36519</v>
      </c>
      <c r="E17" s="18" t="s">
        <v>6</v>
      </c>
      <c r="F17" s="37" t="s">
        <v>70</v>
      </c>
      <c r="G17" s="37" t="s">
        <v>381</v>
      </c>
      <c r="H17" s="37" t="s">
        <v>104</v>
      </c>
      <c r="I17" s="94" t="s">
        <v>249</v>
      </c>
      <c r="J17" s="94" t="s">
        <v>103</v>
      </c>
      <c r="K17" s="22">
        <v>50</v>
      </c>
    </row>
    <row r="18" spans="1:11" ht="12" customHeight="1" x14ac:dyDescent="0.25">
      <c r="A18" s="121"/>
      <c r="B18" s="4">
        <v>406</v>
      </c>
      <c r="C18" s="34"/>
      <c r="D18" s="34"/>
      <c r="E18" s="34"/>
      <c r="F18" s="85"/>
      <c r="G18" s="85"/>
      <c r="H18" s="85"/>
      <c r="I18" s="85"/>
      <c r="J18" s="85"/>
      <c r="K18" s="34"/>
    </row>
    <row r="19" spans="1:11" ht="12" customHeight="1" x14ac:dyDescent="0.25">
      <c r="A19" s="120">
        <v>4</v>
      </c>
      <c r="B19" s="4">
        <v>407</v>
      </c>
      <c r="C19" s="10" t="s">
        <v>105</v>
      </c>
      <c r="D19" s="27">
        <v>35801</v>
      </c>
      <c r="E19" s="18" t="s">
        <v>6</v>
      </c>
      <c r="F19" s="37" t="s">
        <v>51</v>
      </c>
      <c r="G19" s="37" t="s">
        <v>381</v>
      </c>
      <c r="H19" s="37" t="s">
        <v>32</v>
      </c>
      <c r="I19" s="94" t="s">
        <v>193</v>
      </c>
      <c r="J19" s="94"/>
      <c r="K19" s="22">
        <v>72</v>
      </c>
    </row>
    <row r="20" spans="1:11" ht="12" customHeight="1" x14ac:dyDescent="0.25">
      <c r="A20" s="121"/>
      <c r="B20" s="4">
        <v>407</v>
      </c>
      <c r="C20" s="10" t="s">
        <v>106</v>
      </c>
      <c r="D20" s="27">
        <v>35892</v>
      </c>
      <c r="E20" s="18" t="s">
        <v>6</v>
      </c>
      <c r="F20" s="37" t="s">
        <v>51</v>
      </c>
      <c r="G20" s="37" t="s">
        <v>381</v>
      </c>
      <c r="H20" s="37" t="s">
        <v>16</v>
      </c>
      <c r="I20" s="94" t="s">
        <v>540</v>
      </c>
      <c r="J20" s="94"/>
      <c r="K20" s="22">
        <v>233</v>
      </c>
    </row>
    <row r="21" spans="1:11" ht="12" customHeight="1" x14ac:dyDescent="0.25">
      <c r="A21" s="120">
        <v>21</v>
      </c>
      <c r="B21" s="4">
        <v>408</v>
      </c>
      <c r="C21" s="10" t="s">
        <v>268</v>
      </c>
      <c r="D21" s="27">
        <v>36572</v>
      </c>
      <c r="E21" s="18" t="s">
        <v>6</v>
      </c>
      <c r="F21" s="37" t="s">
        <v>389</v>
      </c>
      <c r="G21" s="37" t="s">
        <v>269</v>
      </c>
      <c r="H21" s="37" t="s">
        <v>35</v>
      </c>
      <c r="I21" s="94" t="s">
        <v>199</v>
      </c>
      <c r="J21" s="94"/>
      <c r="K21" s="22">
        <v>149</v>
      </c>
    </row>
    <row r="22" spans="1:11" ht="12" customHeight="1" x14ac:dyDescent="0.25">
      <c r="A22" s="122"/>
      <c r="B22" s="4">
        <v>408</v>
      </c>
      <c r="C22" s="10" t="s">
        <v>109</v>
      </c>
      <c r="D22" s="27">
        <v>35556</v>
      </c>
      <c r="E22" s="18" t="s">
        <v>6</v>
      </c>
      <c r="F22" s="37" t="s">
        <v>55</v>
      </c>
      <c r="G22" s="37" t="s">
        <v>381</v>
      </c>
      <c r="H22" s="37" t="s">
        <v>33</v>
      </c>
      <c r="I22" s="94" t="s">
        <v>251</v>
      </c>
      <c r="J22" s="94" t="s">
        <v>189</v>
      </c>
      <c r="K22" s="22">
        <v>94</v>
      </c>
    </row>
    <row r="23" spans="1:11" ht="12" customHeight="1" x14ac:dyDescent="0.25">
      <c r="A23" s="121"/>
      <c r="B23" s="4">
        <v>408</v>
      </c>
      <c r="C23" s="10" t="s">
        <v>254</v>
      </c>
      <c r="D23" s="27">
        <v>36796</v>
      </c>
      <c r="E23" s="18" t="s">
        <v>6</v>
      </c>
      <c r="F23" s="37" t="s">
        <v>387</v>
      </c>
      <c r="G23" s="37" t="s">
        <v>381</v>
      </c>
      <c r="H23" s="37" t="s">
        <v>33</v>
      </c>
      <c r="I23" s="94" t="s">
        <v>235</v>
      </c>
      <c r="J23" s="94"/>
      <c r="K23" s="22">
        <v>62</v>
      </c>
    </row>
    <row r="24" spans="1:11" ht="12" customHeight="1" x14ac:dyDescent="0.25">
      <c r="A24" s="120">
        <v>5</v>
      </c>
      <c r="B24" s="4">
        <v>409</v>
      </c>
      <c r="C24" s="10"/>
      <c r="D24" s="27"/>
      <c r="E24" s="18"/>
      <c r="F24" s="37"/>
      <c r="G24" s="37"/>
      <c r="H24" s="37"/>
      <c r="I24" s="94"/>
      <c r="J24" s="94"/>
      <c r="K24" s="22"/>
    </row>
    <row r="25" spans="1:11" ht="12" customHeight="1" x14ac:dyDescent="0.25">
      <c r="A25" s="121"/>
      <c r="B25" s="4">
        <v>409</v>
      </c>
      <c r="C25" s="10"/>
      <c r="D25" s="27"/>
      <c r="E25" s="18"/>
      <c r="F25" s="37"/>
      <c r="G25" s="37"/>
      <c r="H25" s="37"/>
      <c r="I25" s="94"/>
      <c r="J25" s="94"/>
      <c r="K25" s="22"/>
    </row>
    <row r="26" spans="1:11" ht="12" customHeight="1" x14ac:dyDescent="0.25">
      <c r="A26" s="120">
        <v>22</v>
      </c>
      <c r="B26" s="4">
        <v>410</v>
      </c>
      <c r="C26" s="10" t="s">
        <v>111</v>
      </c>
      <c r="D26" s="27">
        <v>35109</v>
      </c>
      <c r="E26" s="18" t="s">
        <v>3</v>
      </c>
      <c r="F26" s="37" t="s">
        <v>309</v>
      </c>
      <c r="G26" s="37" t="s">
        <v>269</v>
      </c>
      <c r="H26" s="37" t="s">
        <v>4</v>
      </c>
      <c r="I26" s="94" t="s">
        <v>196</v>
      </c>
      <c r="J26" s="94"/>
      <c r="K26" s="22">
        <v>202</v>
      </c>
    </row>
    <row r="27" spans="1:11" ht="12" customHeight="1" x14ac:dyDescent="0.25">
      <c r="A27" s="122"/>
      <c r="B27" s="4">
        <v>410</v>
      </c>
      <c r="C27" s="10" t="s">
        <v>112</v>
      </c>
      <c r="D27" s="27">
        <v>35034</v>
      </c>
      <c r="E27" s="18" t="s">
        <v>3</v>
      </c>
      <c r="F27" s="37" t="s">
        <v>310</v>
      </c>
      <c r="G27" s="37" t="s">
        <v>269</v>
      </c>
      <c r="H27" s="37" t="s">
        <v>84</v>
      </c>
      <c r="I27" s="94" t="s">
        <v>188</v>
      </c>
      <c r="J27" s="94" t="s">
        <v>189</v>
      </c>
      <c r="K27" s="22">
        <v>181</v>
      </c>
    </row>
    <row r="28" spans="1:11" ht="12" customHeight="1" x14ac:dyDescent="0.25">
      <c r="A28" s="121"/>
      <c r="B28" s="4">
        <v>410</v>
      </c>
      <c r="C28" s="10" t="s">
        <v>257</v>
      </c>
      <c r="D28" s="27">
        <v>35806</v>
      </c>
      <c r="E28" s="18" t="s">
        <v>3</v>
      </c>
      <c r="F28" s="37" t="s">
        <v>407</v>
      </c>
      <c r="G28" s="37" t="s">
        <v>269</v>
      </c>
      <c r="H28" s="37" t="s">
        <v>4</v>
      </c>
      <c r="I28" s="94" t="s">
        <v>235</v>
      </c>
      <c r="J28" s="94"/>
      <c r="K28" s="22">
        <v>199</v>
      </c>
    </row>
    <row r="29" spans="1:11" ht="12" customHeight="1" x14ac:dyDescent="0.25">
      <c r="A29" s="120">
        <v>6</v>
      </c>
      <c r="B29" s="4">
        <v>411</v>
      </c>
      <c r="C29" s="10" t="s">
        <v>143</v>
      </c>
      <c r="D29" s="27">
        <v>35584</v>
      </c>
      <c r="E29" s="18" t="s">
        <v>6</v>
      </c>
      <c r="F29" s="37" t="s">
        <v>47</v>
      </c>
      <c r="G29" s="37" t="s">
        <v>269</v>
      </c>
      <c r="H29" s="37" t="s">
        <v>35</v>
      </c>
      <c r="I29" s="94" t="s">
        <v>196</v>
      </c>
      <c r="J29" s="94"/>
      <c r="K29" s="22">
        <v>26</v>
      </c>
    </row>
    <row r="30" spans="1:11" ht="12" customHeight="1" x14ac:dyDescent="0.25">
      <c r="A30" s="121"/>
      <c r="B30" s="4">
        <v>411</v>
      </c>
      <c r="C30" s="10" t="s">
        <v>116</v>
      </c>
      <c r="D30" s="27">
        <v>34643</v>
      </c>
      <c r="E30" s="18" t="s">
        <v>6</v>
      </c>
      <c r="F30" s="37" t="s">
        <v>47</v>
      </c>
      <c r="G30" s="37" t="s">
        <v>269</v>
      </c>
      <c r="H30" s="37" t="s">
        <v>35</v>
      </c>
      <c r="I30" s="94">
        <v>1497731</v>
      </c>
      <c r="J30" s="94"/>
      <c r="K30" s="22">
        <v>27</v>
      </c>
    </row>
    <row r="31" spans="1:11" ht="12" customHeight="1" x14ac:dyDescent="0.25">
      <c r="A31" s="120">
        <v>23</v>
      </c>
      <c r="B31" s="4">
        <v>412</v>
      </c>
      <c r="C31" s="10" t="s">
        <v>125</v>
      </c>
      <c r="D31" s="27">
        <v>36272</v>
      </c>
      <c r="E31" s="18" t="s">
        <v>6</v>
      </c>
      <c r="F31" s="37" t="s">
        <v>81</v>
      </c>
      <c r="G31" s="37" t="s">
        <v>381</v>
      </c>
      <c r="H31" s="37" t="s">
        <v>126</v>
      </c>
      <c r="I31" s="94" t="s">
        <v>236</v>
      </c>
      <c r="J31" s="94"/>
      <c r="K31" s="22">
        <v>148</v>
      </c>
    </row>
    <row r="32" spans="1:11" ht="12" customHeight="1" x14ac:dyDescent="0.25">
      <c r="A32" s="122"/>
      <c r="B32" s="4">
        <v>412</v>
      </c>
      <c r="C32" s="10" t="s">
        <v>131</v>
      </c>
      <c r="D32" s="27">
        <v>35604</v>
      </c>
      <c r="E32" s="18" t="s">
        <v>6</v>
      </c>
      <c r="F32" s="37" t="s">
        <v>47</v>
      </c>
      <c r="G32" s="37" t="s">
        <v>269</v>
      </c>
      <c r="H32" s="37" t="s">
        <v>132</v>
      </c>
      <c r="I32" s="94" t="s">
        <v>199</v>
      </c>
      <c r="J32" s="94"/>
      <c r="K32" s="22">
        <v>20</v>
      </c>
    </row>
    <row r="33" spans="1:11" ht="12" customHeight="1" x14ac:dyDescent="0.25">
      <c r="A33" s="121"/>
      <c r="B33" s="4">
        <v>412</v>
      </c>
      <c r="C33" s="10" t="s">
        <v>556</v>
      </c>
      <c r="D33" s="27">
        <v>35973</v>
      </c>
      <c r="E33" s="18" t="s">
        <v>6</v>
      </c>
      <c r="F33" s="37" t="s">
        <v>308</v>
      </c>
      <c r="G33" s="37" t="s">
        <v>269</v>
      </c>
      <c r="H33" s="37" t="s">
        <v>32</v>
      </c>
      <c r="I33" s="97"/>
      <c r="J33" s="94"/>
      <c r="K33" s="22">
        <v>55</v>
      </c>
    </row>
    <row r="34" spans="1:11" ht="12" customHeight="1" x14ac:dyDescent="0.25">
      <c r="A34" s="120">
        <v>7</v>
      </c>
      <c r="B34" s="4">
        <v>413</v>
      </c>
      <c r="C34" s="10" t="s">
        <v>255</v>
      </c>
      <c r="D34" s="27">
        <v>36598</v>
      </c>
      <c r="E34" s="18" t="s">
        <v>6</v>
      </c>
      <c r="F34" s="37" t="s">
        <v>195</v>
      </c>
      <c r="G34" s="37" t="s">
        <v>381</v>
      </c>
      <c r="H34" s="37" t="s">
        <v>256</v>
      </c>
      <c r="I34" s="94" t="s">
        <v>193</v>
      </c>
      <c r="J34" s="94"/>
      <c r="K34" s="22">
        <v>82</v>
      </c>
    </row>
    <row r="35" spans="1:11" ht="12" customHeight="1" x14ac:dyDescent="0.25">
      <c r="A35" s="121"/>
      <c r="B35" s="4">
        <v>413</v>
      </c>
      <c r="C35" s="10" t="s">
        <v>252</v>
      </c>
      <c r="D35" s="27">
        <v>36689</v>
      </c>
      <c r="E35" s="18" t="s">
        <v>6</v>
      </c>
      <c r="F35" s="37" t="s">
        <v>393</v>
      </c>
      <c r="G35" s="37" t="s">
        <v>381</v>
      </c>
      <c r="H35" s="37" t="s">
        <v>4</v>
      </c>
      <c r="I35" s="94" t="s">
        <v>196</v>
      </c>
      <c r="J35" s="94"/>
      <c r="K35" s="22">
        <v>88</v>
      </c>
    </row>
    <row r="36" spans="1:11" ht="12" customHeight="1" x14ac:dyDescent="0.25">
      <c r="A36" s="120">
        <v>24</v>
      </c>
      <c r="B36" s="4">
        <v>414</v>
      </c>
      <c r="C36" s="10" t="s">
        <v>117</v>
      </c>
      <c r="D36" s="27">
        <v>35777</v>
      </c>
      <c r="E36" s="18" t="s">
        <v>6</v>
      </c>
      <c r="F36" s="37" t="s">
        <v>47</v>
      </c>
      <c r="G36" s="37" t="s">
        <v>269</v>
      </c>
      <c r="H36" s="37" t="s">
        <v>118</v>
      </c>
      <c r="I36" s="94" t="s">
        <v>190</v>
      </c>
      <c r="J36" s="94"/>
      <c r="K36" s="22">
        <v>42</v>
      </c>
    </row>
    <row r="37" spans="1:11" ht="12" customHeight="1" x14ac:dyDescent="0.25">
      <c r="A37" s="122"/>
      <c r="B37" s="4">
        <v>414</v>
      </c>
      <c r="C37" s="10" t="s">
        <v>261</v>
      </c>
      <c r="D37" s="27">
        <v>35795</v>
      </c>
      <c r="E37" s="18" t="s">
        <v>6</v>
      </c>
      <c r="F37" s="37" t="s">
        <v>383</v>
      </c>
      <c r="G37" s="37" t="s">
        <v>381</v>
      </c>
      <c r="H37" s="37" t="s">
        <v>118</v>
      </c>
      <c r="I37" s="94" t="s">
        <v>249</v>
      </c>
      <c r="J37" s="94" t="s">
        <v>262</v>
      </c>
      <c r="K37" s="22">
        <v>87</v>
      </c>
    </row>
    <row r="38" spans="1:11" ht="12" customHeight="1" x14ac:dyDescent="0.25">
      <c r="A38" s="121"/>
      <c r="B38" s="4">
        <v>414</v>
      </c>
      <c r="C38" s="34"/>
      <c r="D38" s="34"/>
      <c r="E38" s="34"/>
      <c r="F38" s="85"/>
      <c r="G38" s="85"/>
      <c r="H38" s="85"/>
      <c r="I38" s="85"/>
      <c r="J38" s="85"/>
      <c r="K38" s="34"/>
    </row>
    <row r="39" spans="1:11" ht="12" customHeight="1" x14ac:dyDescent="0.25">
      <c r="A39" s="120">
        <v>8</v>
      </c>
      <c r="B39" s="4">
        <v>415</v>
      </c>
      <c r="C39" s="10" t="s">
        <v>265</v>
      </c>
      <c r="D39" s="27">
        <v>36823</v>
      </c>
      <c r="E39" s="18" t="s">
        <v>6</v>
      </c>
      <c r="F39" s="37" t="s">
        <v>389</v>
      </c>
      <c r="G39" s="37" t="s">
        <v>381</v>
      </c>
      <c r="H39" s="37" t="s">
        <v>266</v>
      </c>
      <c r="I39" s="94" t="s">
        <v>190</v>
      </c>
      <c r="J39" s="94"/>
      <c r="K39" s="22">
        <v>25</v>
      </c>
    </row>
    <row r="40" spans="1:11" ht="12" customHeight="1" x14ac:dyDescent="0.25">
      <c r="A40" s="121"/>
      <c r="B40" s="4">
        <v>415</v>
      </c>
      <c r="C40" s="10" t="s">
        <v>263</v>
      </c>
      <c r="D40" s="27">
        <v>36615</v>
      </c>
      <c r="E40" s="18" t="s">
        <v>6</v>
      </c>
      <c r="F40" s="37" t="s">
        <v>382</v>
      </c>
      <c r="G40" s="37" t="s">
        <v>269</v>
      </c>
      <c r="H40" s="37" t="s">
        <v>35</v>
      </c>
      <c r="I40" s="94" t="s">
        <v>264</v>
      </c>
      <c r="J40" s="94" t="s">
        <v>189</v>
      </c>
      <c r="K40" s="22">
        <v>48</v>
      </c>
    </row>
    <row r="41" spans="1:11" ht="12" customHeight="1" x14ac:dyDescent="0.25">
      <c r="A41" s="120">
        <v>25</v>
      </c>
      <c r="B41" s="4">
        <v>416</v>
      </c>
      <c r="C41" s="10" t="s">
        <v>113</v>
      </c>
      <c r="D41" s="27">
        <v>36039</v>
      </c>
      <c r="E41" s="18" t="s">
        <v>6</v>
      </c>
      <c r="F41" s="37" t="s">
        <v>13</v>
      </c>
      <c r="G41" s="37" t="s">
        <v>381</v>
      </c>
      <c r="H41" s="37" t="s">
        <v>114</v>
      </c>
      <c r="I41" s="94" t="s">
        <v>235</v>
      </c>
      <c r="J41" s="94"/>
      <c r="K41" s="22">
        <v>81</v>
      </c>
    </row>
    <row r="42" spans="1:11" ht="12" customHeight="1" x14ac:dyDescent="0.25">
      <c r="A42" s="122"/>
      <c r="B42" s="4">
        <v>416</v>
      </c>
      <c r="C42" s="10" t="s">
        <v>258</v>
      </c>
      <c r="D42" s="27">
        <v>36497</v>
      </c>
      <c r="E42" s="18" t="s">
        <v>6</v>
      </c>
      <c r="F42" s="37" t="s">
        <v>391</v>
      </c>
      <c r="G42" s="37" t="s">
        <v>381</v>
      </c>
      <c r="H42" s="37" t="s">
        <v>121</v>
      </c>
      <c r="I42" s="94">
        <v>0</v>
      </c>
      <c r="J42" s="94" t="s">
        <v>487</v>
      </c>
      <c r="K42" s="22">
        <v>146</v>
      </c>
    </row>
    <row r="43" spans="1:11" ht="12" customHeight="1" x14ac:dyDescent="0.25">
      <c r="A43" s="121"/>
      <c r="B43" s="4">
        <v>416</v>
      </c>
      <c r="C43" s="10" t="s">
        <v>259</v>
      </c>
      <c r="D43" s="27">
        <v>36851</v>
      </c>
      <c r="E43" s="18" t="s">
        <v>6</v>
      </c>
      <c r="F43" s="37" t="s">
        <v>394</v>
      </c>
      <c r="G43" s="37" t="s">
        <v>381</v>
      </c>
      <c r="H43" s="37" t="s">
        <v>260</v>
      </c>
      <c r="I43" s="94" t="s">
        <v>193</v>
      </c>
      <c r="J43" s="94"/>
      <c r="K43" s="22">
        <v>75</v>
      </c>
    </row>
    <row r="44" spans="1:11" ht="12" customHeight="1" x14ac:dyDescent="0.25">
      <c r="A44" s="120">
        <v>9</v>
      </c>
      <c r="B44" s="4">
        <v>417</v>
      </c>
      <c r="C44" s="10" t="s">
        <v>141</v>
      </c>
      <c r="D44" s="27">
        <v>35469</v>
      </c>
      <c r="E44" s="18" t="s">
        <v>6</v>
      </c>
      <c r="F44" s="37" t="s">
        <v>123</v>
      </c>
      <c r="G44" s="37" t="s">
        <v>381</v>
      </c>
      <c r="H44" s="37" t="s">
        <v>142</v>
      </c>
      <c r="I44" s="94" t="s">
        <v>267</v>
      </c>
      <c r="J44" s="94" t="s">
        <v>189</v>
      </c>
      <c r="K44" s="22">
        <v>134</v>
      </c>
    </row>
    <row r="45" spans="1:11" ht="12" customHeight="1" x14ac:dyDescent="0.25">
      <c r="A45" s="121"/>
      <c r="B45" s="4">
        <v>417</v>
      </c>
      <c r="C45" s="10"/>
      <c r="D45" s="27"/>
      <c r="E45" s="18"/>
      <c r="F45" s="37"/>
      <c r="G45" s="37"/>
      <c r="H45" s="37"/>
      <c r="I45" s="94"/>
      <c r="J45" s="94"/>
      <c r="K45" s="22"/>
    </row>
    <row r="46" spans="1:11" ht="12" customHeight="1" x14ac:dyDescent="0.25">
      <c r="A46" s="120">
        <v>26</v>
      </c>
      <c r="B46" s="4">
        <v>418</v>
      </c>
      <c r="C46" s="10" t="s">
        <v>270</v>
      </c>
      <c r="D46" s="27">
        <v>36558</v>
      </c>
      <c r="E46" s="18" t="s">
        <v>6</v>
      </c>
      <c r="F46" s="37" t="s">
        <v>385</v>
      </c>
      <c r="G46" s="37" t="s">
        <v>381</v>
      </c>
      <c r="H46" s="37" t="s">
        <v>9</v>
      </c>
      <c r="I46" s="94" t="s">
        <v>193</v>
      </c>
      <c r="J46" s="94"/>
      <c r="K46" s="22">
        <v>113</v>
      </c>
    </row>
    <row r="47" spans="1:11" ht="12" customHeight="1" x14ac:dyDescent="0.25">
      <c r="A47" s="122"/>
      <c r="B47" s="4">
        <v>418</v>
      </c>
      <c r="C47" s="10" t="s">
        <v>271</v>
      </c>
      <c r="D47" s="27">
        <v>36777</v>
      </c>
      <c r="E47" s="18" t="s">
        <v>6</v>
      </c>
      <c r="F47" s="37" t="s">
        <v>253</v>
      </c>
      <c r="G47" s="37" t="s">
        <v>381</v>
      </c>
      <c r="H47" s="37" t="s">
        <v>272</v>
      </c>
      <c r="I47" s="94" t="s">
        <v>193</v>
      </c>
      <c r="J47" s="94"/>
      <c r="K47" s="22">
        <v>17</v>
      </c>
    </row>
    <row r="48" spans="1:11" ht="12" customHeight="1" x14ac:dyDescent="0.25">
      <c r="A48" s="121"/>
      <c r="B48" s="4">
        <v>418</v>
      </c>
      <c r="C48" s="34"/>
      <c r="D48" s="34"/>
      <c r="E48" s="34"/>
      <c r="F48" s="85"/>
      <c r="G48" s="85"/>
      <c r="H48" s="85"/>
      <c r="I48" s="85"/>
      <c r="J48" s="85"/>
      <c r="K48" s="34"/>
    </row>
    <row r="49" spans="1:11" ht="12" customHeight="1" x14ac:dyDescent="0.25">
      <c r="A49" s="120">
        <v>27</v>
      </c>
      <c r="B49" s="4">
        <v>419</v>
      </c>
      <c r="C49" s="10" t="s">
        <v>278</v>
      </c>
      <c r="D49" s="27">
        <v>36920</v>
      </c>
      <c r="E49" s="18" t="s">
        <v>6</v>
      </c>
      <c r="F49" s="37" t="s">
        <v>219</v>
      </c>
      <c r="G49" s="37" t="s">
        <v>381</v>
      </c>
      <c r="H49" s="37" t="s">
        <v>121</v>
      </c>
      <c r="I49" s="94" t="s">
        <v>196</v>
      </c>
      <c r="J49" s="94"/>
      <c r="K49" s="22">
        <v>54</v>
      </c>
    </row>
    <row r="50" spans="1:11" ht="12" customHeight="1" x14ac:dyDescent="0.25">
      <c r="A50" s="122"/>
      <c r="B50" s="4">
        <v>419</v>
      </c>
      <c r="C50" s="10" t="s">
        <v>276</v>
      </c>
      <c r="D50" s="27">
        <v>36858</v>
      </c>
      <c r="E50" s="18" t="s">
        <v>6</v>
      </c>
      <c r="F50" s="37" t="s">
        <v>390</v>
      </c>
      <c r="G50" s="37" t="s">
        <v>381</v>
      </c>
      <c r="H50" s="37" t="s">
        <v>73</v>
      </c>
      <c r="I50" s="94" t="s">
        <v>196</v>
      </c>
      <c r="J50" s="94"/>
      <c r="K50" s="22">
        <v>57</v>
      </c>
    </row>
    <row r="51" spans="1:11" ht="12" customHeight="1" x14ac:dyDescent="0.25">
      <c r="A51" s="121"/>
      <c r="B51" s="4">
        <v>419</v>
      </c>
      <c r="C51" s="34"/>
      <c r="D51" s="34"/>
      <c r="E51" s="34"/>
      <c r="F51" s="85"/>
      <c r="G51" s="85"/>
      <c r="H51" s="85"/>
      <c r="I51" s="85"/>
      <c r="J51" s="85"/>
      <c r="K51" s="34"/>
    </row>
    <row r="52" spans="1:11" ht="12" customHeight="1" x14ac:dyDescent="0.25">
      <c r="A52" s="120">
        <v>28</v>
      </c>
      <c r="B52" s="4">
        <v>420</v>
      </c>
      <c r="C52" s="10" t="s">
        <v>279</v>
      </c>
      <c r="D52" s="27">
        <v>35898</v>
      </c>
      <c r="E52" s="18" t="s">
        <v>6</v>
      </c>
      <c r="F52" s="37" t="s">
        <v>388</v>
      </c>
      <c r="G52" s="37" t="s">
        <v>269</v>
      </c>
      <c r="H52" s="37" t="s">
        <v>11</v>
      </c>
      <c r="I52" s="94" t="s">
        <v>280</v>
      </c>
      <c r="J52" s="94" t="s">
        <v>189</v>
      </c>
      <c r="K52" s="22">
        <v>30</v>
      </c>
    </row>
    <row r="53" spans="1:11" ht="12" customHeight="1" x14ac:dyDescent="0.25">
      <c r="A53" s="122"/>
      <c r="B53" s="4">
        <v>420</v>
      </c>
      <c r="C53" s="10" t="s">
        <v>273</v>
      </c>
      <c r="D53" s="27">
        <v>36909</v>
      </c>
      <c r="E53" s="18" t="s">
        <v>6</v>
      </c>
      <c r="F53" s="37" t="s">
        <v>389</v>
      </c>
      <c r="G53" s="37" t="s">
        <v>381</v>
      </c>
      <c r="H53" s="37" t="s">
        <v>274</v>
      </c>
      <c r="I53" s="94" t="s">
        <v>275</v>
      </c>
      <c r="J53" s="94" t="s">
        <v>189</v>
      </c>
      <c r="K53" s="22">
        <v>41</v>
      </c>
    </row>
    <row r="54" spans="1:11" ht="12" customHeight="1" x14ac:dyDescent="0.25">
      <c r="A54" s="121"/>
      <c r="B54" s="4">
        <v>420</v>
      </c>
      <c r="C54" s="10"/>
      <c r="D54" s="27"/>
      <c r="E54" s="18"/>
      <c r="F54" s="37"/>
      <c r="G54" s="37"/>
      <c r="H54" s="37"/>
      <c r="I54" s="94"/>
      <c r="J54" s="94"/>
      <c r="K54" s="22"/>
    </row>
    <row r="55" spans="1:11" ht="12" customHeight="1" x14ac:dyDescent="0.25">
      <c r="A55" s="120">
        <v>10</v>
      </c>
      <c r="B55" s="4">
        <v>421</v>
      </c>
      <c r="C55" s="10" t="s">
        <v>120</v>
      </c>
      <c r="D55" s="27">
        <v>36150</v>
      </c>
      <c r="E55" s="18" t="s">
        <v>6</v>
      </c>
      <c r="F55" s="37" t="s">
        <v>44</v>
      </c>
      <c r="G55" s="37" t="s">
        <v>269</v>
      </c>
      <c r="H55" s="37" t="s">
        <v>121</v>
      </c>
      <c r="I55" s="94" t="s">
        <v>190</v>
      </c>
      <c r="J55" s="94"/>
      <c r="K55" s="22">
        <v>93</v>
      </c>
    </row>
    <row r="56" spans="1:11" ht="12" customHeight="1" x14ac:dyDescent="0.25">
      <c r="A56" s="121"/>
      <c r="B56" s="4">
        <v>421</v>
      </c>
      <c r="C56" s="10" t="s">
        <v>122</v>
      </c>
      <c r="D56" s="27">
        <v>35930</v>
      </c>
      <c r="E56" s="18" t="s">
        <v>6</v>
      </c>
      <c r="F56" s="37" t="s">
        <v>123</v>
      </c>
      <c r="G56" s="37" t="s">
        <v>269</v>
      </c>
      <c r="H56" s="37" t="s">
        <v>124</v>
      </c>
      <c r="I56" s="94" t="s">
        <v>235</v>
      </c>
      <c r="J56" s="94"/>
      <c r="K56" s="22">
        <v>6</v>
      </c>
    </row>
    <row r="57" spans="1:11" ht="12" customHeight="1" x14ac:dyDescent="0.25">
      <c r="A57" s="120">
        <v>29</v>
      </c>
      <c r="B57" s="4">
        <v>422</v>
      </c>
      <c r="C57" s="10" t="s">
        <v>518</v>
      </c>
      <c r="D57" s="27">
        <v>36611</v>
      </c>
      <c r="E57" s="18" t="s">
        <v>6</v>
      </c>
      <c r="F57" s="37" t="s">
        <v>393</v>
      </c>
      <c r="G57" s="37" t="s">
        <v>381</v>
      </c>
      <c r="H57" s="37" t="s">
        <v>519</v>
      </c>
      <c r="I57" s="94">
        <v>0</v>
      </c>
      <c r="J57" s="94" t="s">
        <v>520</v>
      </c>
      <c r="K57" s="22">
        <v>253</v>
      </c>
    </row>
    <row r="58" spans="1:11" ht="12" customHeight="1" x14ac:dyDescent="0.25">
      <c r="A58" s="122"/>
      <c r="B58" s="4">
        <v>422</v>
      </c>
      <c r="C58" s="10" t="s">
        <v>284</v>
      </c>
      <c r="D58" s="27">
        <v>36672</v>
      </c>
      <c r="E58" s="18" t="s">
        <v>6</v>
      </c>
      <c r="F58" s="37" t="s">
        <v>398</v>
      </c>
      <c r="G58" s="37" t="s">
        <v>269</v>
      </c>
      <c r="H58" s="37" t="s">
        <v>84</v>
      </c>
      <c r="I58" s="94" t="s">
        <v>196</v>
      </c>
      <c r="J58" s="94"/>
      <c r="K58" s="22">
        <v>137</v>
      </c>
    </row>
    <row r="59" spans="1:11" ht="12" customHeight="1" x14ac:dyDescent="0.25">
      <c r="A59" s="121"/>
      <c r="B59" s="4">
        <v>422</v>
      </c>
      <c r="C59" s="15" t="s">
        <v>384</v>
      </c>
      <c r="D59" s="17">
        <v>36508</v>
      </c>
      <c r="E59" s="18" t="s">
        <v>6</v>
      </c>
      <c r="F59" s="37" t="s">
        <v>385</v>
      </c>
      <c r="G59" s="37" t="s">
        <v>381</v>
      </c>
      <c r="H59" s="37" t="s">
        <v>352</v>
      </c>
      <c r="I59" s="37">
        <v>0</v>
      </c>
      <c r="J59" s="96" t="s">
        <v>386</v>
      </c>
      <c r="K59" s="22">
        <v>11</v>
      </c>
    </row>
    <row r="60" spans="1:11" ht="12" customHeight="1" x14ac:dyDescent="0.25">
      <c r="A60" s="120">
        <v>11</v>
      </c>
      <c r="B60" s="4">
        <v>423</v>
      </c>
      <c r="C60" s="10" t="s">
        <v>147</v>
      </c>
      <c r="D60" s="27">
        <v>35983</v>
      </c>
      <c r="E60" s="18" t="s">
        <v>6</v>
      </c>
      <c r="F60" s="37" t="s">
        <v>37</v>
      </c>
      <c r="G60" s="37" t="s">
        <v>381</v>
      </c>
      <c r="H60" s="37" t="s">
        <v>75</v>
      </c>
      <c r="I60" s="94" t="s">
        <v>193</v>
      </c>
      <c r="J60" s="94" t="s">
        <v>525</v>
      </c>
      <c r="K60" s="22">
        <v>35</v>
      </c>
    </row>
    <row r="61" spans="1:11" ht="12" customHeight="1" x14ac:dyDescent="0.25">
      <c r="A61" s="121"/>
      <c r="B61" s="4">
        <v>423</v>
      </c>
      <c r="C61" s="10" t="s">
        <v>554</v>
      </c>
      <c r="D61" s="27">
        <v>35950</v>
      </c>
      <c r="E61" s="18" t="s">
        <v>6</v>
      </c>
      <c r="F61" s="37" t="s">
        <v>395</v>
      </c>
      <c r="G61" s="37" t="s">
        <v>269</v>
      </c>
      <c r="H61" s="37" t="s">
        <v>555</v>
      </c>
      <c r="I61" s="94">
        <v>401781</v>
      </c>
      <c r="J61" s="94"/>
      <c r="K61" s="22">
        <v>267</v>
      </c>
    </row>
    <row r="62" spans="1:11" ht="12" customHeight="1" x14ac:dyDescent="0.25">
      <c r="A62" s="120">
        <v>30</v>
      </c>
      <c r="B62" s="4">
        <v>424</v>
      </c>
      <c r="C62" s="10" t="s">
        <v>129</v>
      </c>
      <c r="D62" s="27">
        <v>35573</v>
      </c>
      <c r="E62" s="18" t="s">
        <v>6</v>
      </c>
      <c r="F62" s="37" t="s">
        <v>23</v>
      </c>
      <c r="G62" s="37" t="s">
        <v>381</v>
      </c>
      <c r="H62" s="37" t="s">
        <v>130</v>
      </c>
      <c r="I62" s="94" t="s">
        <v>524</v>
      </c>
      <c r="J62" s="94" t="s">
        <v>281</v>
      </c>
      <c r="K62" s="22">
        <v>129</v>
      </c>
    </row>
    <row r="63" spans="1:11" ht="12" customHeight="1" x14ac:dyDescent="0.25">
      <c r="A63" s="122"/>
      <c r="B63" s="4">
        <v>424</v>
      </c>
      <c r="C63" s="10"/>
      <c r="D63" s="27"/>
      <c r="E63" s="18"/>
      <c r="F63" s="37"/>
      <c r="G63" s="37"/>
      <c r="H63" s="37"/>
      <c r="I63" s="94"/>
      <c r="J63" s="94"/>
      <c r="K63" s="22"/>
    </row>
    <row r="64" spans="1:11" ht="12" customHeight="1" x14ac:dyDescent="0.25">
      <c r="A64" s="121"/>
      <c r="B64" s="4">
        <v>424</v>
      </c>
      <c r="C64" s="10"/>
      <c r="D64" s="27"/>
      <c r="E64" s="18"/>
      <c r="F64" s="37"/>
      <c r="G64" s="37"/>
      <c r="H64" s="37"/>
      <c r="I64" s="94"/>
      <c r="J64" s="94"/>
      <c r="K64" s="22"/>
    </row>
    <row r="65" spans="1:11" ht="12" customHeight="1" x14ac:dyDescent="0.25">
      <c r="A65" s="120">
        <v>12</v>
      </c>
      <c r="B65" s="4">
        <v>425</v>
      </c>
      <c r="C65" s="10" t="s">
        <v>282</v>
      </c>
      <c r="D65" s="27">
        <v>36586</v>
      </c>
      <c r="E65" s="18" t="s">
        <v>6</v>
      </c>
      <c r="F65" s="37" t="s">
        <v>219</v>
      </c>
      <c r="G65" s="37" t="s">
        <v>381</v>
      </c>
      <c r="H65" s="37" t="s">
        <v>283</v>
      </c>
      <c r="I65" s="94" t="s">
        <v>199</v>
      </c>
      <c r="J65" s="94"/>
      <c r="K65" s="22">
        <v>44</v>
      </c>
    </row>
    <row r="66" spans="1:11" ht="12" customHeight="1" x14ac:dyDescent="0.25">
      <c r="A66" s="121"/>
      <c r="B66" s="4">
        <v>425</v>
      </c>
      <c r="C66" s="10" t="s">
        <v>527</v>
      </c>
      <c r="D66" s="27">
        <v>36676</v>
      </c>
      <c r="E66" s="18" t="s">
        <v>6</v>
      </c>
      <c r="F66" s="37" t="s">
        <v>390</v>
      </c>
      <c r="G66" s="37" t="s">
        <v>381</v>
      </c>
      <c r="H66" s="37" t="s">
        <v>285</v>
      </c>
      <c r="I66" s="94" t="s">
        <v>193</v>
      </c>
      <c r="J66" s="94"/>
      <c r="K66" s="22">
        <v>73</v>
      </c>
    </row>
    <row r="67" spans="1:11" ht="12" customHeight="1" x14ac:dyDescent="0.25">
      <c r="A67" s="120">
        <v>31</v>
      </c>
      <c r="B67" s="4">
        <v>426</v>
      </c>
      <c r="C67" s="10" t="s">
        <v>133</v>
      </c>
      <c r="D67" s="27">
        <v>35191</v>
      </c>
      <c r="E67" s="18" t="s">
        <v>3</v>
      </c>
      <c r="F67" s="37" t="s">
        <v>408</v>
      </c>
      <c r="G67" s="37" t="s">
        <v>269</v>
      </c>
      <c r="H67" s="37" t="s">
        <v>4</v>
      </c>
      <c r="I67" s="94" t="s">
        <v>286</v>
      </c>
      <c r="J67" s="94"/>
      <c r="K67" s="22">
        <v>200</v>
      </c>
    </row>
    <row r="68" spans="1:11" ht="12" customHeight="1" x14ac:dyDescent="0.25">
      <c r="A68" s="122"/>
      <c r="B68" s="4">
        <v>426</v>
      </c>
      <c r="C68" s="10" t="s">
        <v>134</v>
      </c>
      <c r="D68" s="27">
        <v>35369</v>
      </c>
      <c r="E68" s="18" t="s">
        <v>3</v>
      </c>
      <c r="F68" s="37" t="s">
        <v>311</v>
      </c>
      <c r="G68" s="37" t="s">
        <v>269</v>
      </c>
      <c r="H68" s="37" t="s">
        <v>4</v>
      </c>
      <c r="I68" s="94" t="s">
        <v>193</v>
      </c>
      <c r="J68" s="94"/>
      <c r="K68" s="22">
        <v>198</v>
      </c>
    </row>
    <row r="69" spans="1:11" ht="12" customHeight="1" x14ac:dyDescent="0.25">
      <c r="A69" s="121"/>
      <c r="B69" s="4">
        <v>426</v>
      </c>
      <c r="C69" s="10"/>
      <c r="D69" s="27"/>
      <c r="E69" s="18"/>
      <c r="F69" s="37"/>
      <c r="G69" s="37"/>
      <c r="H69" s="37"/>
      <c r="I69" s="94"/>
      <c r="J69" s="94"/>
      <c r="K69" s="22"/>
    </row>
    <row r="70" spans="1:11" ht="12" customHeight="1" x14ac:dyDescent="0.25">
      <c r="A70" s="120">
        <v>13</v>
      </c>
      <c r="B70" s="4">
        <v>427</v>
      </c>
      <c r="C70" s="10" t="s">
        <v>110</v>
      </c>
      <c r="D70" s="27">
        <v>35820</v>
      </c>
      <c r="E70" s="18" t="s">
        <v>6</v>
      </c>
      <c r="F70" s="37" t="s">
        <v>312</v>
      </c>
      <c r="G70" s="37" t="s">
        <v>269</v>
      </c>
      <c r="H70" s="37" t="s">
        <v>32</v>
      </c>
      <c r="I70" s="94" t="s">
        <v>190</v>
      </c>
      <c r="J70" s="94"/>
      <c r="K70" s="22">
        <v>69</v>
      </c>
    </row>
    <row r="71" spans="1:11" ht="12" customHeight="1" x14ac:dyDescent="0.25">
      <c r="A71" s="121"/>
      <c r="B71" s="4">
        <v>427</v>
      </c>
      <c r="C71" s="10" t="s">
        <v>135</v>
      </c>
      <c r="D71" s="27">
        <v>35667</v>
      </c>
      <c r="E71" s="18" t="s">
        <v>6</v>
      </c>
      <c r="F71" s="37" t="s">
        <v>97</v>
      </c>
      <c r="G71" s="37" t="s">
        <v>269</v>
      </c>
      <c r="H71" s="37" t="s">
        <v>4</v>
      </c>
      <c r="I71" s="94" t="s">
        <v>199</v>
      </c>
      <c r="J71" s="94"/>
      <c r="K71" s="22">
        <v>126</v>
      </c>
    </row>
    <row r="72" spans="1:11" ht="12" customHeight="1" x14ac:dyDescent="0.25">
      <c r="A72" s="120">
        <v>32</v>
      </c>
      <c r="B72" s="4">
        <v>428</v>
      </c>
      <c r="C72" s="10" t="s">
        <v>287</v>
      </c>
      <c r="D72" s="27">
        <v>36862</v>
      </c>
      <c r="E72" s="18" t="s">
        <v>6</v>
      </c>
      <c r="F72" s="37" t="s">
        <v>385</v>
      </c>
      <c r="G72" s="37" t="s">
        <v>381</v>
      </c>
      <c r="H72" s="37" t="s">
        <v>288</v>
      </c>
      <c r="I72" s="94">
        <v>0</v>
      </c>
      <c r="J72" s="94" t="s">
        <v>289</v>
      </c>
      <c r="K72" s="22">
        <v>92</v>
      </c>
    </row>
    <row r="73" spans="1:11" ht="12" customHeight="1" x14ac:dyDescent="0.25">
      <c r="A73" s="122"/>
      <c r="B73" s="4">
        <v>428</v>
      </c>
      <c r="C73" s="10" t="s">
        <v>294</v>
      </c>
      <c r="D73" s="27">
        <v>36745</v>
      </c>
      <c r="E73" s="18" t="s">
        <v>6</v>
      </c>
      <c r="F73" s="37" t="s">
        <v>385</v>
      </c>
      <c r="G73" s="37" t="s">
        <v>381</v>
      </c>
      <c r="H73" s="37" t="s">
        <v>4</v>
      </c>
      <c r="I73" s="94" t="s">
        <v>295</v>
      </c>
      <c r="J73" s="94"/>
      <c r="K73" s="22">
        <v>138</v>
      </c>
    </row>
    <row r="74" spans="1:11" ht="12" customHeight="1" x14ac:dyDescent="0.25">
      <c r="A74" s="121"/>
      <c r="B74" s="4">
        <v>428</v>
      </c>
      <c r="C74" s="10" t="s">
        <v>291</v>
      </c>
      <c r="D74" s="27">
        <v>36703</v>
      </c>
      <c r="E74" s="18" t="s">
        <v>6</v>
      </c>
      <c r="F74" s="37" t="s">
        <v>390</v>
      </c>
      <c r="G74" s="37" t="s">
        <v>269</v>
      </c>
      <c r="H74" s="37" t="s">
        <v>16</v>
      </c>
      <c r="I74" s="94" t="s">
        <v>292</v>
      </c>
      <c r="J74" s="94" t="s">
        <v>293</v>
      </c>
      <c r="K74" s="22">
        <v>157</v>
      </c>
    </row>
    <row r="75" spans="1:11" ht="12" customHeight="1" x14ac:dyDescent="0.25">
      <c r="A75" s="120">
        <v>14</v>
      </c>
      <c r="B75" s="4">
        <v>429</v>
      </c>
      <c r="C75" s="10" t="s">
        <v>298</v>
      </c>
      <c r="D75" s="27">
        <v>36238</v>
      </c>
      <c r="E75" s="18" t="s">
        <v>6</v>
      </c>
      <c r="F75" s="37" t="s">
        <v>389</v>
      </c>
      <c r="G75" s="37" t="s">
        <v>381</v>
      </c>
      <c r="H75" s="37" t="s">
        <v>114</v>
      </c>
      <c r="I75" s="94" t="s">
        <v>190</v>
      </c>
      <c r="J75" s="94"/>
      <c r="K75" s="22">
        <v>103</v>
      </c>
    </row>
    <row r="76" spans="1:11" ht="12" customHeight="1" x14ac:dyDescent="0.25">
      <c r="A76" s="121"/>
      <c r="B76" s="4">
        <v>429</v>
      </c>
      <c r="C76" s="34"/>
      <c r="D76" s="34"/>
      <c r="E76" s="34"/>
      <c r="F76" s="85"/>
      <c r="G76" s="85"/>
      <c r="H76" s="85"/>
      <c r="I76" s="85"/>
      <c r="J76" s="85"/>
      <c r="K76" s="34"/>
    </row>
    <row r="77" spans="1:11" ht="12" customHeight="1" x14ac:dyDescent="0.25">
      <c r="A77" s="120">
        <v>33</v>
      </c>
      <c r="B77" s="4">
        <v>430</v>
      </c>
      <c r="C77" s="10" t="s">
        <v>138</v>
      </c>
      <c r="D77" s="27">
        <v>35513</v>
      </c>
      <c r="E77" s="18" t="s">
        <v>6</v>
      </c>
      <c r="F77" s="37" t="s">
        <v>55</v>
      </c>
      <c r="G77" s="37" t="s">
        <v>381</v>
      </c>
      <c r="H77" s="37" t="s">
        <v>10</v>
      </c>
      <c r="I77" s="94" t="s">
        <v>190</v>
      </c>
      <c r="J77" s="94"/>
      <c r="K77" s="22">
        <v>104</v>
      </c>
    </row>
    <row r="78" spans="1:11" ht="12" customHeight="1" x14ac:dyDescent="0.25">
      <c r="A78" s="122"/>
      <c r="B78" s="4">
        <v>430</v>
      </c>
      <c r="C78" s="10" t="s">
        <v>139</v>
      </c>
      <c r="D78" s="27">
        <v>35721</v>
      </c>
      <c r="E78" s="18" t="s">
        <v>6</v>
      </c>
      <c r="F78" s="37" t="s">
        <v>55</v>
      </c>
      <c r="G78" s="37" t="s">
        <v>381</v>
      </c>
      <c r="H78" s="37" t="s">
        <v>121</v>
      </c>
      <c r="I78" s="94" t="s">
        <v>235</v>
      </c>
      <c r="J78" s="94"/>
      <c r="K78" s="22">
        <v>7</v>
      </c>
    </row>
    <row r="79" spans="1:11" ht="12" customHeight="1" x14ac:dyDescent="0.25">
      <c r="A79" s="121"/>
      <c r="B79" s="4">
        <v>430</v>
      </c>
      <c r="C79" s="10" t="s">
        <v>107</v>
      </c>
      <c r="D79" s="27">
        <v>35581</v>
      </c>
      <c r="E79" s="18" t="s">
        <v>6</v>
      </c>
      <c r="F79" s="37" t="s">
        <v>55</v>
      </c>
      <c r="G79" s="37" t="s">
        <v>381</v>
      </c>
      <c r="H79" s="37" t="s">
        <v>108</v>
      </c>
      <c r="I79" s="94">
        <v>1497737</v>
      </c>
      <c r="J79" s="94" t="s">
        <v>299</v>
      </c>
      <c r="K79" s="22">
        <v>147</v>
      </c>
    </row>
    <row r="80" spans="1:11" ht="12" customHeight="1" x14ac:dyDescent="0.25">
      <c r="A80" s="120">
        <v>15</v>
      </c>
      <c r="B80" s="4">
        <v>431</v>
      </c>
      <c r="C80" s="10" t="s">
        <v>140</v>
      </c>
      <c r="D80" s="27">
        <v>36166</v>
      </c>
      <c r="E80" s="18" t="s">
        <v>6</v>
      </c>
      <c r="F80" s="37" t="s">
        <v>13</v>
      </c>
      <c r="G80" s="37" t="s">
        <v>381</v>
      </c>
      <c r="H80" s="37" t="s">
        <v>4</v>
      </c>
      <c r="I80" s="94" t="s">
        <v>224</v>
      </c>
      <c r="J80" s="94"/>
      <c r="K80" s="22">
        <v>10</v>
      </c>
    </row>
    <row r="81" spans="1:11" ht="12" customHeight="1" x14ac:dyDescent="0.25">
      <c r="A81" s="121"/>
      <c r="B81" s="4">
        <v>431</v>
      </c>
      <c r="C81" s="10" t="s">
        <v>300</v>
      </c>
      <c r="D81" s="27">
        <v>36642</v>
      </c>
      <c r="E81" s="18" t="s">
        <v>6</v>
      </c>
      <c r="F81" s="37" t="s">
        <v>393</v>
      </c>
      <c r="G81" s="37" t="s">
        <v>381</v>
      </c>
      <c r="H81" s="37" t="s">
        <v>114</v>
      </c>
      <c r="I81" s="94">
        <v>0</v>
      </c>
      <c r="J81" s="94" t="s">
        <v>301</v>
      </c>
      <c r="K81" s="22">
        <v>71</v>
      </c>
    </row>
    <row r="82" spans="1:11" ht="12" customHeight="1" x14ac:dyDescent="0.25">
      <c r="A82" s="120">
        <v>34</v>
      </c>
      <c r="B82" s="4">
        <v>432</v>
      </c>
      <c r="C82" s="10" t="s">
        <v>303</v>
      </c>
      <c r="D82" s="27">
        <v>35817</v>
      </c>
      <c r="E82" s="18" t="s">
        <v>6</v>
      </c>
      <c r="F82" s="37" t="s">
        <v>394</v>
      </c>
      <c r="G82" s="37" t="s">
        <v>381</v>
      </c>
      <c r="H82" s="37" t="s">
        <v>10</v>
      </c>
      <c r="I82" s="94" t="s">
        <v>193</v>
      </c>
      <c r="J82" s="94"/>
      <c r="K82" s="22">
        <v>80</v>
      </c>
    </row>
    <row r="83" spans="1:11" ht="12" customHeight="1" x14ac:dyDescent="0.25">
      <c r="A83" s="122"/>
      <c r="B83" s="4">
        <v>432</v>
      </c>
      <c r="C83" s="10" t="s">
        <v>302</v>
      </c>
      <c r="D83" s="27">
        <v>36581</v>
      </c>
      <c r="E83" s="18" t="s">
        <v>6</v>
      </c>
      <c r="F83" s="37" t="s">
        <v>387</v>
      </c>
      <c r="G83" s="37" t="s">
        <v>381</v>
      </c>
      <c r="H83" s="37" t="s">
        <v>26</v>
      </c>
      <c r="I83" s="94" t="s">
        <v>196</v>
      </c>
      <c r="J83" s="94"/>
      <c r="K83" s="22">
        <v>66</v>
      </c>
    </row>
    <row r="84" spans="1:11" ht="12" customHeight="1" x14ac:dyDescent="0.25">
      <c r="A84" s="121"/>
      <c r="B84" s="4">
        <v>432</v>
      </c>
      <c r="C84" s="10"/>
      <c r="D84" s="27"/>
      <c r="E84" s="18"/>
      <c r="F84" s="37"/>
      <c r="G84" s="37"/>
      <c r="H84" s="37"/>
      <c r="I84" s="94"/>
      <c r="J84" s="94"/>
      <c r="K84" s="22"/>
    </row>
    <row r="85" spans="1:11" ht="12" customHeight="1" x14ac:dyDescent="0.25">
      <c r="A85" s="120">
        <v>16</v>
      </c>
      <c r="B85" s="4">
        <v>433</v>
      </c>
      <c r="C85" s="10" t="s">
        <v>304</v>
      </c>
      <c r="D85" s="27">
        <v>36774</v>
      </c>
      <c r="E85" s="18" t="s">
        <v>6</v>
      </c>
      <c r="F85" s="37" t="s">
        <v>391</v>
      </c>
      <c r="G85" s="37" t="s">
        <v>381</v>
      </c>
      <c r="H85" s="37" t="s">
        <v>121</v>
      </c>
      <c r="I85" s="94" t="s">
        <v>224</v>
      </c>
      <c r="J85" s="94"/>
      <c r="K85" s="22">
        <v>46</v>
      </c>
    </row>
    <row r="86" spans="1:11" ht="12" customHeight="1" x14ac:dyDescent="0.25">
      <c r="A86" s="121"/>
      <c r="B86" s="4">
        <v>433</v>
      </c>
      <c r="C86" s="10"/>
      <c r="D86" s="27"/>
      <c r="E86" s="18"/>
      <c r="F86" s="37"/>
      <c r="G86" s="37"/>
      <c r="H86" s="37"/>
      <c r="I86" s="94"/>
      <c r="J86" s="94"/>
      <c r="K86" s="22"/>
    </row>
    <row r="87" spans="1:11" ht="12" customHeight="1" x14ac:dyDescent="0.25">
      <c r="A87" s="120">
        <v>35</v>
      </c>
      <c r="B87" s="4">
        <v>434</v>
      </c>
      <c r="C87" s="10" t="s">
        <v>144</v>
      </c>
      <c r="D87" s="27">
        <v>35948</v>
      </c>
      <c r="E87" s="18" t="s">
        <v>6</v>
      </c>
      <c r="F87" s="37" t="s">
        <v>34</v>
      </c>
      <c r="G87" s="37" t="s">
        <v>381</v>
      </c>
      <c r="H87" s="37" t="s">
        <v>9</v>
      </c>
      <c r="I87" s="94" t="s">
        <v>249</v>
      </c>
      <c r="J87" s="94" t="s">
        <v>305</v>
      </c>
      <c r="K87" s="22">
        <v>16</v>
      </c>
    </row>
    <row r="88" spans="1:11" ht="12" customHeight="1" x14ac:dyDescent="0.25">
      <c r="A88" s="122"/>
      <c r="B88" s="4">
        <v>434</v>
      </c>
      <c r="C88" s="10" t="s">
        <v>146</v>
      </c>
      <c r="D88" s="27">
        <v>36073</v>
      </c>
      <c r="E88" s="18" t="s">
        <v>6</v>
      </c>
      <c r="F88" s="37" t="s">
        <v>34</v>
      </c>
      <c r="G88" s="37" t="s">
        <v>381</v>
      </c>
      <c r="H88" s="37" t="s">
        <v>11</v>
      </c>
      <c r="I88" s="94" t="s">
        <v>235</v>
      </c>
      <c r="J88" s="94"/>
      <c r="K88" s="22">
        <v>45</v>
      </c>
    </row>
    <row r="89" spans="1:11" ht="12" customHeight="1" x14ac:dyDescent="0.25">
      <c r="A89" s="121"/>
      <c r="B89" s="4">
        <v>434</v>
      </c>
      <c r="C89" s="10" t="s">
        <v>145</v>
      </c>
      <c r="D89" s="27">
        <v>36029</v>
      </c>
      <c r="E89" s="18" t="s">
        <v>6</v>
      </c>
      <c r="F89" s="37" t="s">
        <v>13</v>
      </c>
      <c r="G89" s="37" t="s">
        <v>381</v>
      </c>
      <c r="H89" s="37" t="s">
        <v>73</v>
      </c>
      <c r="I89" s="94" t="s">
        <v>306</v>
      </c>
      <c r="J89" s="94"/>
      <c r="K89" s="22">
        <v>141</v>
      </c>
    </row>
    <row r="90" spans="1:11" ht="12" customHeight="1" x14ac:dyDescent="0.25">
      <c r="A90" s="120">
        <v>17</v>
      </c>
      <c r="B90" s="4">
        <v>435</v>
      </c>
      <c r="C90" s="10" t="s">
        <v>243</v>
      </c>
      <c r="D90" s="27">
        <v>36952</v>
      </c>
      <c r="E90" s="18" t="s">
        <v>6</v>
      </c>
      <c r="F90" s="37" t="s">
        <v>392</v>
      </c>
      <c r="G90" s="37" t="s">
        <v>381</v>
      </c>
      <c r="H90" s="37" t="s">
        <v>16</v>
      </c>
      <c r="I90" s="94" t="s">
        <v>244</v>
      </c>
      <c r="J90" s="94"/>
      <c r="K90" s="22">
        <v>90</v>
      </c>
    </row>
    <row r="91" spans="1:11" ht="12" customHeight="1" x14ac:dyDescent="0.25">
      <c r="A91" s="121"/>
      <c r="B91" s="4">
        <v>435</v>
      </c>
      <c r="C91" s="10" t="s">
        <v>246</v>
      </c>
      <c r="D91" s="27">
        <v>36643</v>
      </c>
      <c r="E91" s="18" t="s">
        <v>6</v>
      </c>
      <c r="F91" s="37" t="s">
        <v>387</v>
      </c>
      <c r="G91" s="37" t="s">
        <v>381</v>
      </c>
      <c r="H91" s="37" t="s">
        <v>247</v>
      </c>
      <c r="I91" s="94">
        <v>0</v>
      </c>
      <c r="J91" s="94" t="s">
        <v>290</v>
      </c>
      <c r="K91" s="22">
        <v>13</v>
      </c>
    </row>
    <row r="92" spans="1:11" ht="12" customHeight="1" x14ac:dyDescent="0.25">
      <c r="A92" s="120">
        <v>36</v>
      </c>
      <c r="B92" s="4">
        <v>436</v>
      </c>
      <c r="C92" s="10" t="s">
        <v>115</v>
      </c>
      <c r="D92" s="27">
        <v>35389</v>
      </c>
      <c r="E92" s="18" t="s">
        <v>6</v>
      </c>
      <c r="F92" s="37" t="s">
        <v>47</v>
      </c>
      <c r="G92" s="37" t="s">
        <v>269</v>
      </c>
      <c r="H92" s="37" t="s">
        <v>11</v>
      </c>
      <c r="I92" s="94" t="s">
        <v>199</v>
      </c>
      <c r="J92" s="94"/>
      <c r="K92" s="22">
        <v>60</v>
      </c>
    </row>
    <row r="93" spans="1:11" ht="12" customHeight="1" x14ac:dyDescent="0.25">
      <c r="A93" s="122"/>
      <c r="B93" s="4">
        <v>436</v>
      </c>
      <c r="C93" s="10" t="s">
        <v>128</v>
      </c>
      <c r="D93" s="27">
        <v>35560</v>
      </c>
      <c r="E93" s="18" t="s">
        <v>6</v>
      </c>
      <c r="F93" s="37" t="s">
        <v>47</v>
      </c>
      <c r="G93" s="37" t="s">
        <v>269</v>
      </c>
      <c r="H93" s="37" t="s">
        <v>11</v>
      </c>
      <c r="I93" s="94" t="s">
        <v>193</v>
      </c>
      <c r="J93" s="94"/>
      <c r="K93" s="22">
        <v>59</v>
      </c>
    </row>
    <row r="94" spans="1:11" ht="12" customHeight="1" x14ac:dyDescent="0.25">
      <c r="A94" s="121"/>
      <c r="B94" s="4">
        <v>436</v>
      </c>
      <c r="C94" s="34"/>
      <c r="D94" s="34"/>
      <c r="E94" s="34"/>
      <c r="F94" s="85"/>
      <c r="G94" s="85"/>
      <c r="H94" s="85"/>
      <c r="I94" s="85"/>
      <c r="J94" s="85"/>
      <c r="K94" s="34"/>
    </row>
  </sheetData>
  <sortState ref="C16:K18">
    <sortCondition ref="C16"/>
  </sortState>
  <mergeCells count="37">
    <mergeCell ref="B1:K1"/>
    <mergeCell ref="A3:A4"/>
    <mergeCell ref="A5:A8"/>
    <mergeCell ref="A9:A10"/>
    <mergeCell ref="A11:A13"/>
    <mergeCell ref="A14:A15"/>
    <mergeCell ref="A16:A18"/>
    <mergeCell ref="A19:A20"/>
    <mergeCell ref="A21:A23"/>
    <mergeCell ref="A24:A25"/>
    <mergeCell ref="A26:A28"/>
    <mergeCell ref="A29:A30"/>
    <mergeCell ref="A31:A33"/>
    <mergeCell ref="A34:A35"/>
    <mergeCell ref="A36:A38"/>
    <mergeCell ref="A39:A40"/>
    <mergeCell ref="A41:A43"/>
    <mergeCell ref="A44:A45"/>
    <mergeCell ref="A46:A48"/>
    <mergeCell ref="A49:A51"/>
    <mergeCell ref="A52:A54"/>
    <mergeCell ref="A55:A56"/>
    <mergeCell ref="A57:A59"/>
    <mergeCell ref="A60:A61"/>
    <mergeCell ref="A62:A64"/>
    <mergeCell ref="A65:A66"/>
    <mergeCell ref="A67:A69"/>
    <mergeCell ref="A70:A71"/>
    <mergeCell ref="A72:A74"/>
    <mergeCell ref="A75:A76"/>
    <mergeCell ref="A90:A91"/>
    <mergeCell ref="A92:A94"/>
    <mergeCell ref="A77:A79"/>
    <mergeCell ref="A80:A81"/>
    <mergeCell ref="A82:A84"/>
    <mergeCell ref="A85:A86"/>
    <mergeCell ref="A87:A89"/>
  </mergeCells>
  <pageMargins left="0.39370078740157483" right="0.39370078740157483" top="0.19685039370078741" bottom="0.19685039370078741" header="0" footer="0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H20" sqref="H20"/>
    </sheetView>
  </sheetViews>
  <sheetFormatPr defaultRowHeight="15" x14ac:dyDescent="0.25"/>
  <cols>
    <col min="1" max="1" width="5.28515625" style="68" customWidth="1"/>
    <col min="2" max="2" width="5.7109375" customWidth="1"/>
    <col min="3" max="3" width="36.5703125" customWidth="1"/>
    <col min="4" max="4" width="10.28515625" customWidth="1"/>
    <col min="5" max="5" width="7.7109375" customWidth="1"/>
    <col min="6" max="6" width="11.7109375" customWidth="1"/>
    <col min="7" max="7" width="3.42578125" customWidth="1"/>
    <col min="8" max="8" width="28.7109375" customWidth="1"/>
    <col min="9" max="9" width="10.7109375" customWidth="1"/>
    <col min="10" max="11" width="8.7109375" customWidth="1"/>
  </cols>
  <sheetData>
    <row r="1" spans="1:11" ht="22.5" x14ac:dyDescent="0.3">
      <c r="B1" s="127" t="s">
        <v>91</v>
      </c>
      <c r="C1" s="128"/>
      <c r="D1" s="128"/>
      <c r="E1" s="128"/>
      <c r="F1" s="128"/>
      <c r="G1" s="128"/>
      <c r="H1" s="128"/>
      <c r="I1" s="128"/>
      <c r="J1" s="128"/>
      <c r="K1" s="129"/>
    </row>
    <row r="2" spans="1:11" ht="25.5" customHeight="1" x14ac:dyDescent="0.25">
      <c r="A2" s="2" t="s">
        <v>557</v>
      </c>
      <c r="B2" s="2" t="s">
        <v>90</v>
      </c>
      <c r="C2" s="2" t="s">
        <v>0</v>
      </c>
      <c r="D2" s="2" t="s">
        <v>378</v>
      </c>
      <c r="E2" s="2" t="s">
        <v>1</v>
      </c>
      <c r="F2" s="2" t="s">
        <v>88</v>
      </c>
      <c r="G2" s="2" t="s">
        <v>380</v>
      </c>
      <c r="H2" s="2" t="s">
        <v>2</v>
      </c>
      <c r="I2" s="2" t="s">
        <v>87</v>
      </c>
      <c r="J2" s="2" t="s">
        <v>89</v>
      </c>
      <c r="K2" s="2" t="s">
        <v>379</v>
      </c>
    </row>
    <row r="3" spans="1:11" ht="12" customHeight="1" x14ac:dyDescent="0.25">
      <c r="A3" s="124">
        <v>34</v>
      </c>
      <c r="B3" s="4">
        <v>502</v>
      </c>
      <c r="C3" s="74" t="s">
        <v>149</v>
      </c>
      <c r="D3" s="75">
        <v>35443</v>
      </c>
      <c r="E3" s="72" t="s">
        <v>3</v>
      </c>
      <c r="F3" s="76" t="s">
        <v>416</v>
      </c>
      <c r="G3" s="76" t="s">
        <v>269</v>
      </c>
      <c r="H3" s="88" t="s">
        <v>11</v>
      </c>
      <c r="I3" s="90" t="s">
        <v>360</v>
      </c>
      <c r="J3" s="93"/>
      <c r="K3" s="78">
        <v>169</v>
      </c>
    </row>
    <row r="4" spans="1:11" ht="12" customHeight="1" x14ac:dyDescent="0.25">
      <c r="A4" s="126"/>
      <c r="B4" s="4">
        <v>502</v>
      </c>
      <c r="C4" s="10" t="s">
        <v>150</v>
      </c>
      <c r="D4" s="27">
        <v>35370</v>
      </c>
      <c r="E4" s="18" t="s">
        <v>3</v>
      </c>
      <c r="F4" s="6" t="s">
        <v>418</v>
      </c>
      <c r="G4" s="6" t="s">
        <v>269</v>
      </c>
      <c r="H4" s="37" t="s">
        <v>11</v>
      </c>
      <c r="I4" s="87" t="s">
        <v>361</v>
      </c>
      <c r="J4" s="94"/>
      <c r="K4" s="22">
        <v>168</v>
      </c>
    </row>
    <row r="5" spans="1:11" ht="12" customHeight="1" x14ac:dyDescent="0.25">
      <c r="A5" s="125"/>
      <c r="B5" s="4">
        <v>502</v>
      </c>
      <c r="C5" s="10" t="s">
        <v>151</v>
      </c>
      <c r="D5" s="27">
        <v>35064</v>
      </c>
      <c r="E5" s="18" t="s">
        <v>3</v>
      </c>
      <c r="F5" s="6" t="s">
        <v>417</v>
      </c>
      <c r="G5" s="6" t="s">
        <v>269</v>
      </c>
      <c r="H5" s="37" t="s">
        <v>11</v>
      </c>
      <c r="I5" s="87" t="s">
        <v>361</v>
      </c>
      <c r="J5" s="94"/>
      <c r="K5" s="22">
        <v>161</v>
      </c>
    </row>
    <row r="6" spans="1:11" ht="12" customHeight="1" x14ac:dyDescent="0.25">
      <c r="A6" s="124">
        <v>33</v>
      </c>
      <c r="B6" s="4">
        <v>503</v>
      </c>
      <c r="C6" s="10"/>
      <c r="D6" s="10"/>
      <c r="E6" s="18"/>
      <c r="F6" s="6"/>
      <c r="G6" s="6"/>
      <c r="H6" s="37"/>
      <c r="I6" s="87"/>
      <c r="J6" s="94"/>
      <c r="K6" s="22"/>
    </row>
    <row r="7" spans="1:11" ht="12" customHeight="1" x14ac:dyDescent="0.25">
      <c r="A7" s="126"/>
      <c r="B7" s="4">
        <v>503</v>
      </c>
      <c r="C7" s="8"/>
      <c r="D7" s="8"/>
      <c r="E7" s="18"/>
      <c r="F7" s="9"/>
      <c r="G7" s="9"/>
      <c r="H7" s="91"/>
      <c r="I7" s="87"/>
      <c r="J7" s="94"/>
      <c r="K7" s="22"/>
    </row>
    <row r="8" spans="1:11" ht="12" customHeight="1" x14ac:dyDescent="0.25">
      <c r="A8" s="125"/>
      <c r="B8" s="4">
        <v>503</v>
      </c>
      <c r="C8" s="10"/>
      <c r="D8" s="10"/>
      <c r="E8" s="18"/>
      <c r="F8" s="9"/>
      <c r="G8" s="9"/>
      <c r="H8" s="91"/>
      <c r="I8" s="87"/>
      <c r="J8" s="94"/>
      <c r="K8" s="22"/>
    </row>
    <row r="9" spans="1:11" ht="12" customHeight="1" x14ac:dyDescent="0.25">
      <c r="A9" s="124">
        <v>32</v>
      </c>
      <c r="B9" s="4">
        <v>504</v>
      </c>
      <c r="C9" s="10" t="s">
        <v>152</v>
      </c>
      <c r="D9" s="27">
        <v>35308</v>
      </c>
      <c r="E9" s="18" t="s">
        <v>3</v>
      </c>
      <c r="F9" s="6" t="s">
        <v>419</v>
      </c>
      <c r="G9" s="6" t="s">
        <v>269</v>
      </c>
      <c r="H9" s="37" t="s">
        <v>114</v>
      </c>
      <c r="I9" s="87" t="s">
        <v>362</v>
      </c>
      <c r="J9" s="94"/>
      <c r="K9" s="22">
        <v>188</v>
      </c>
    </row>
    <row r="10" spans="1:11" ht="12" customHeight="1" x14ac:dyDescent="0.25">
      <c r="A10" s="126"/>
      <c r="B10" s="4">
        <v>504</v>
      </c>
      <c r="C10" s="10"/>
      <c r="D10" s="27"/>
      <c r="E10" s="18"/>
      <c r="F10" s="6"/>
      <c r="G10" s="6"/>
      <c r="H10" s="37"/>
      <c r="I10" s="87"/>
      <c r="J10" s="94"/>
      <c r="K10" s="22"/>
    </row>
    <row r="11" spans="1:11" ht="12" customHeight="1" x14ac:dyDescent="0.25">
      <c r="A11" s="125"/>
      <c r="B11" s="4">
        <v>504</v>
      </c>
      <c r="C11" s="19"/>
      <c r="D11" s="19"/>
      <c r="E11" s="18"/>
      <c r="F11" s="7"/>
      <c r="G11" s="7"/>
      <c r="H11" s="92"/>
      <c r="I11" s="87"/>
      <c r="J11" s="92"/>
      <c r="K11" s="19"/>
    </row>
    <row r="12" spans="1:11" ht="12" customHeight="1" x14ac:dyDescent="0.25">
      <c r="A12" s="124">
        <v>31</v>
      </c>
      <c r="B12" s="4">
        <v>505</v>
      </c>
      <c r="C12" s="10" t="s">
        <v>363</v>
      </c>
      <c r="D12" s="27">
        <v>36586</v>
      </c>
      <c r="E12" s="18" t="s">
        <v>6</v>
      </c>
      <c r="F12" s="6" t="s">
        <v>382</v>
      </c>
      <c r="G12" s="6"/>
      <c r="H12" s="37"/>
      <c r="I12" s="87" t="s">
        <v>366</v>
      </c>
      <c r="J12" s="94" t="s">
        <v>15</v>
      </c>
      <c r="K12" s="22">
        <v>117</v>
      </c>
    </row>
    <row r="13" spans="1:11" ht="12" customHeight="1" x14ac:dyDescent="0.25">
      <c r="A13" s="126"/>
      <c r="B13" s="4">
        <v>505</v>
      </c>
      <c r="C13" s="10" t="s">
        <v>550</v>
      </c>
      <c r="D13" s="27">
        <v>36518</v>
      </c>
      <c r="E13" s="18" t="s">
        <v>6</v>
      </c>
      <c r="F13" s="6" t="s">
        <v>420</v>
      </c>
      <c r="G13" s="6"/>
      <c r="H13" s="37" t="s">
        <v>153</v>
      </c>
      <c r="I13" s="87" t="s">
        <v>366</v>
      </c>
      <c r="J13" s="94" t="s">
        <v>15</v>
      </c>
      <c r="K13" s="22">
        <v>243</v>
      </c>
    </row>
    <row r="14" spans="1:11" ht="12" customHeight="1" x14ac:dyDescent="0.25">
      <c r="A14" s="125"/>
      <c r="B14" s="4">
        <v>505</v>
      </c>
      <c r="C14" s="10"/>
      <c r="D14" s="10"/>
      <c r="E14" s="18"/>
      <c r="F14" s="6"/>
      <c r="G14" s="6"/>
      <c r="H14" s="37"/>
      <c r="I14" s="87"/>
      <c r="J14" s="94"/>
      <c r="K14" s="22"/>
    </row>
    <row r="15" spans="1:11" ht="12" customHeight="1" x14ac:dyDescent="0.25">
      <c r="A15" s="124">
        <v>30</v>
      </c>
      <c r="B15" s="4">
        <v>506</v>
      </c>
      <c r="C15" s="19" t="s">
        <v>184</v>
      </c>
      <c r="D15" s="66">
        <v>35598</v>
      </c>
      <c r="E15" s="18" t="s">
        <v>3</v>
      </c>
      <c r="F15" s="7" t="s">
        <v>364</v>
      </c>
      <c r="G15" s="7" t="s">
        <v>269</v>
      </c>
      <c r="H15" s="14"/>
      <c r="I15" s="87" t="s">
        <v>365</v>
      </c>
      <c r="J15" s="92"/>
      <c r="K15" s="16">
        <v>164</v>
      </c>
    </row>
    <row r="16" spans="1:11" ht="12" customHeight="1" x14ac:dyDescent="0.25">
      <c r="A16" s="126"/>
      <c r="B16" s="4">
        <v>506</v>
      </c>
      <c r="C16" s="19"/>
      <c r="D16" s="19"/>
      <c r="E16" s="18"/>
      <c r="F16" s="7"/>
      <c r="G16" s="7"/>
      <c r="H16" s="3"/>
      <c r="I16" s="31"/>
      <c r="J16" s="35"/>
      <c r="K16" s="22"/>
    </row>
    <row r="17" spans="1:11" ht="12" customHeight="1" x14ac:dyDescent="0.25">
      <c r="A17" s="125"/>
      <c r="B17" s="4">
        <v>506</v>
      </c>
      <c r="C17" s="19"/>
      <c r="D17" s="19"/>
      <c r="E17" s="18"/>
      <c r="F17" s="7"/>
      <c r="G17" s="7"/>
      <c r="H17" s="3"/>
      <c r="I17" s="31"/>
      <c r="J17" s="35"/>
      <c r="K17" s="22"/>
    </row>
    <row r="18" spans="1:11" ht="12" customHeight="1" x14ac:dyDescent="0.25">
      <c r="A18" s="124">
        <v>29</v>
      </c>
      <c r="B18" s="4">
        <v>507</v>
      </c>
      <c r="C18" s="10"/>
      <c r="D18" s="10"/>
      <c r="E18" s="18"/>
      <c r="F18" s="6"/>
      <c r="G18" s="6"/>
      <c r="H18" s="3"/>
      <c r="I18" s="31"/>
      <c r="J18" s="35"/>
      <c r="K18" s="22"/>
    </row>
    <row r="19" spans="1:11" ht="12" customHeight="1" x14ac:dyDescent="0.25">
      <c r="A19" s="126"/>
      <c r="B19" s="4">
        <v>507</v>
      </c>
      <c r="C19" s="10"/>
      <c r="D19" s="10"/>
      <c r="E19" s="18"/>
      <c r="F19" s="6"/>
      <c r="G19" s="6"/>
      <c r="H19" s="3"/>
      <c r="I19" s="31"/>
      <c r="J19" s="35"/>
      <c r="K19" s="22"/>
    </row>
    <row r="20" spans="1:11" ht="12" customHeight="1" x14ac:dyDescent="0.25">
      <c r="A20" s="125"/>
      <c r="B20" s="28">
        <v>507</v>
      </c>
      <c r="C20" s="10"/>
      <c r="D20" s="10"/>
      <c r="E20" s="18"/>
      <c r="F20" s="6"/>
      <c r="G20" s="6"/>
      <c r="H20" s="3"/>
      <c r="I20" s="31"/>
      <c r="J20" s="35"/>
      <c r="K20" s="22"/>
    </row>
    <row r="21" spans="1:11" ht="12" customHeight="1" x14ac:dyDescent="0.25">
      <c r="A21" s="124">
        <v>28</v>
      </c>
      <c r="B21" s="4">
        <v>508</v>
      </c>
      <c r="C21" s="10"/>
      <c r="D21" s="10"/>
      <c r="E21" s="18"/>
      <c r="F21" s="6"/>
      <c r="G21" s="6"/>
      <c r="H21" s="3"/>
      <c r="I21" s="31"/>
      <c r="J21" s="35"/>
      <c r="K21" s="22"/>
    </row>
    <row r="22" spans="1:11" ht="12" customHeight="1" x14ac:dyDescent="0.25">
      <c r="A22" s="126"/>
      <c r="B22" s="4">
        <v>508</v>
      </c>
      <c r="C22" s="10"/>
      <c r="D22" s="10"/>
      <c r="E22" s="18"/>
      <c r="F22" s="6"/>
      <c r="G22" s="6"/>
      <c r="H22" s="3"/>
      <c r="I22" s="31"/>
      <c r="J22" s="35"/>
      <c r="K22" s="22"/>
    </row>
    <row r="23" spans="1:11" ht="12" customHeight="1" x14ac:dyDescent="0.25">
      <c r="A23" s="125"/>
      <c r="B23" s="4">
        <v>508</v>
      </c>
      <c r="C23" s="10"/>
      <c r="D23" s="10"/>
      <c r="E23" s="18"/>
      <c r="F23" s="6"/>
      <c r="G23" s="6"/>
      <c r="H23" s="3"/>
      <c r="I23" s="31"/>
      <c r="J23" s="35"/>
      <c r="K23" s="22"/>
    </row>
    <row r="24" spans="1:11" ht="12" customHeight="1" x14ac:dyDescent="0.25">
      <c r="A24" s="124">
        <v>27</v>
      </c>
      <c r="B24" s="4">
        <v>509</v>
      </c>
      <c r="C24" s="10"/>
      <c r="D24" s="10"/>
      <c r="E24" s="18"/>
      <c r="F24" s="6"/>
      <c r="G24" s="6"/>
      <c r="H24" s="3"/>
      <c r="I24" s="31"/>
      <c r="J24" s="35"/>
      <c r="K24" s="22"/>
    </row>
    <row r="25" spans="1:11" ht="12" customHeight="1" x14ac:dyDescent="0.25">
      <c r="A25" s="126"/>
      <c r="B25" s="4">
        <v>509</v>
      </c>
      <c r="C25" s="10"/>
      <c r="D25" s="10"/>
      <c r="E25" s="18"/>
      <c r="F25" s="6"/>
      <c r="G25" s="6"/>
      <c r="H25" s="3"/>
      <c r="I25" s="31"/>
      <c r="J25" s="35"/>
      <c r="K25" s="22"/>
    </row>
    <row r="26" spans="1:11" ht="12" customHeight="1" x14ac:dyDescent="0.25">
      <c r="A26" s="125"/>
      <c r="B26" s="4">
        <v>509</v>
      </c>
      <c r="C26" s="19"/>
      <c r="D26" s="19"/>
      <c r="E26" s="18"/>
      <c r="F26" s="7"/>
      <c r="G26" s="7"/>
      <c r="H26" s="3"/>
      <c r="I26" s="31"/>
      <c r="J26" s="35"/>
      <c r="K26" s="22"/>
    </row>
    <row r="27" spans="1:11" ht="12" customHeight="1" x14ac:dyDescent="0.25">
      <c r="A27" s="124">
        <v>26</v>
      </c>
      <c r="B27" s="4">
        <v>510</v>
      </c>
      <c r="C27" s="10"/>
      <c r="D27" s="10"/>
      <c r="E27" s="18"/>
      <c r="F27" s="6"/>
      <c r="G27" s="6"/>
      <c r="H27" s="3"/>
      <c r="I27" s="31"/>
      <c r="J27" s="35"/>
      <c r="K27" s="22"/>
    </row>
    <row r="28" spans="1:11" ht="12" customHeight="1" x14ac:dyDescent="0.25">
      <c r="A28" s="126"/>
      <c r="B28" s="4">
        <v>510</v>
      </c>
      <c r="C28" s="10"/>
      <c r="D28" s="10"/>
      <c r="E28" s="18"/>
      <c r="F28" s="6"/>
      <c r="G28" s="6"/>
      <c r="H28" s="3"/>
      <c r="I28" s="31"/>
      <c r="J28" s="35"/>
      <c r="K28" s="22"/>
    </row>
    <row r="29" spans="1:11" ht="12" customHeight="1" x14ac:dyDescent="0.25">
      <c r="A29" s="125"/>
      <c r="B29" s="4">
        <v>510</v>
      </c>
      <c r="C29" s="10"/>
      <c r="D29" s="10"/>
      <c r="E29" s="18"/>
      <c r="F29" s="6"/>
      <c r="G29" s="6"/>
      <c r="H29" s="3"/>
      <c r="I29" s="31"/>
      <c r="J29" s="35"/>
      <c r="K29" s="22"/>
    </row>
    <row r="30" spans="1:11" ht="12" customHeight="1" x14ac:dyDescent="0.25">
      <c r="A30" s="124">
        <v>25</v>
      </c>
      <c r="B30" s="4">
        <v>511</v>
      </c>
      <c r="C30" s="10"/>
      <c r="D30" s="10"/>
      <c r="E30" s="18"/>
      <c r="F30" s="6"/>
      <c r="G30" s="6"/>
      <c r="H30" s="3"/>
      <c r="I30" s="31"/>
      <c r="J30" s="36"/>
      <c r="K30" s="19"/>
    </row>
    <row r="31" spans="1:11" ht="12" customHeight="1" x14ac:dyDescent="0.25">
      <c r="A31" s="126"/>
      <c r="B31" s="4">
        <v>511</v>
      </c>
      <c r="C31" s="10"/>
      <c r="D31" s="10"/>
      <c r="E31" s="18"/>
      <c r="F31" s="6"/>
      <c r="G31" s="6"/>
      <c r="H31" s="37"/>
      <c r="I31" s="31"/>
      <c r="J31" s="35"/>
      <c r="K31" s="22"/>
    </row>
    <row r="32" spans="1:11" ht="12" customHeight="1" x14ac:dyDescent="0.25">
      <c r="A32" s="125"/>
      <c r="B32" s="4">
        <v>511</v>
      </c>
      <c r="C32" s="10"/>
      <c r="D32" s="10"/>
      <c r="E32" s="18"/>
      <c r="F32" s="6"/>
      <c r="G32" s="6"/>
      <c r="H32" s="37"/>
      <c r="I32" s="87"/>
      <c r="J32" s="35"/>
      <c r="K32" s="22"/>
    </row>
    <row r="33" spans="1:11" ht="12" customHeight="1" x14ac:dyDescent="0.25">
      <c r="A33" s="124">
        <v>24</v>
      </c>
      <c r="B33" s="4">
        <v>512</v>
      </c>
      <c r="C33" s="10" t="s">
        <v>157</v>
      </c>
      <c r="D33" s="27">
        <v>35272</v>
      </c>
      <c r="E33" s="18" t="s">
        <v>3</v>
      </c>
      <c r="F33" s="6" t="s">
        <v>421</v>
      </c>
      <c r="G33" s="6" t="s">
        <v>269</v>
      </c>
      <c r="H33" s="37" t="s">
        <v>84</v>
      </c>
      <c r="I33" s="87" t="s">
        <v>367</v>
      </c>
      <c r="J33" s="35"/>
      <c r="K33" s="22">
        <v>174</v>
      </c>
    </row>
    <row r="34" spans="1:11" ht="12" customHeight="1" x14ac:dyDescent="0.25">
      <c r="A34" s="126"/>
      <c r="B34" s="4">
        <v>512</v>
      </c>
      <c r="C34" s="8"/>
      <c r="D34" s="8"/>
      <c r="E34" s="18"/>
      <c r="F34" s="9"/>
      <c r="G34" s="9"/>
      <c r="H34" s="91"/>
      <c r="I34" s="87"/>
      <c r="J34" s="35"/>
      <c r="K34" s="22"/>
    </row>
    <row r="35" spans="1:11" ht="12" customHeight="1" x14ac:dyDescent="0.25">
      <c r="A35" s="125"/>
      <c r="B35" s="4">
        <v>512</v>
      </c>
      <c r="C35" s="10"/>
      <c r="D35" s="10"/>
      <c r="E35" s="18"/>
      <c r="F35" s="6"/>
      <c r="G35" s="6"/>
      <c r="H35" s="37"/>
      <c r="I35" s="87"/>
      <c r="J35" s="35"/>
      <c r="K35" s="22"/>
    </row>
    <row r="36" spans="1:11" ht="12" customHeight="1" x14ac:dyDescent="0.25">
      <c r="A36" s="124">
        <v>23</v>
      </c>
      <c r="B36" s="4">
        <v>513</v>
      </c>
      <c r="C36" s="10" t="s">
        <v>159</v>
      </c>
      <c r="D36" s="27">
        <v>35328</v>
      </c>
      <c r="E36" s="18" t="s">
        <v>3</v>
      </c>
      <c r="F36" s="6" t="s">
        <v>421</v>
      </c>
      <c r="G36" s="6" t="s">
        <v>269</v>
      </c>
      <c r="H36" s="37" t="s">
        <v>4</v>
      </c>
      <c r="I36" s="87" t="s">
        <v>367</v>
      </c>
      <c r="J36" s="35"/>
      <c r="K36" s="22">
        <v>165</v>
      </c>
    </row>
    <row r="37" spans="1:11" ht="12" customHeight="1" x14ac:dyDescent="0.25">
      <c r="A37" s="126"/>
      <c r="B37" s="4">
        <v>513</v>
      </c>
      <c r="C37" s="10" t="s">
        <v>160</v>
      </c>
      <c r="D37" s="27">
        <v>35492</v>
      </c>
      <c r="E37" s="18" t="s">
        <v>3</v>
      </c>
      <c r="F37" s="6" t="s">
        <v>422</v>
      </c>
      <c r="G37" s="6" t="s">
        <v>269</v>
      </c>
      <c r="H37" s="37" t="s">
        <v>10</v>
      </c>
      <c r="I37" s="87" t="s">
        <v>367</v>
      </c>
      <c r="J37" s="35"/>
      <c r="K37" s="22">
        <v>173</v>
      </c>
    </row>
    <row r="38" spans="1:11" ht="12" customHeight="1" x14ac:dyDescent="0.25">
      <c r="A38" s="125"/>
      <c r="B38" s="4">
        <v>513</v>
      </c>
      <c r="C38" s="8"/>
      <c r="D38" s="8"/>
      <c r="E38" s="18"/>
      <c r="F38" s="9"/>
      <c r="G38" s="9"/>
      <c r="H38" s="91"/>
      <c r="I38" s="87"/>
      <c r="J38" s="35"/>
      <c r="K38" s="22"/>
    </row>
    <row r="39" spans="1:11" ht="12" customHeight="1" x14ac:dyDescent="0.25">
      <c r="A39" s="124">
        <v>22</v>
      </c>
      <c r="B39" s="4">
        <v>514</v>
      </c>
      <c r="C39" s="10"/>
      <c r="D39" s="27"/>
      <c r="E39" s="18"/>
      <c r="F39" s="6"/>
      <c r="G39" s="6"/>
      <c r="H39" s="37"/>
      <c r="I39" s="87"/>
      <c r="J39" s="35"/>
      <c r="K39" s="22"/>
    </row>
    <row r="40" spans="1:11" ht="12" customHeight="1" x14ac:dyDescent="0.25">
      <c r="A40" s="126"/>
      <c r="B40" s="4">
        <v>514</v>
      </c>
      <c r="C40" s="10"/>
      <c r="D40" s="10"/>
      <c r="E40" s="18"/>
      <c r="F40" s="6"/>
      <c r="G40" s="6"/>
      <c r="H40" s="37"/>
      <c r="I40" s="87"/>
      <c r="J40" s="35"/>
      <c r="K40" s="22"/>
    </row>
    <row r="41" spans="1:11" ht="12" customHeight="1" x14ac:dyDescent="0.25">
      <c r="A41" s="125"/>
      <c r="B41" s="4">
        <v>514</v>
      </c>
      <c r="C41" s="10"/>
      <c r="D41" s="10"/>
      <c r="E41" s="18"/>
      <c r="F41" s="6"/>
      <c r="G41" s="6"/>
      <c r="H41" s="37"/>
      <c r="I41" s="87"/>
      <c r="J41" s="35"/>
      <c r="K41" s="22"/>
    </row>
    <row r="42" spans="1:11" ht="12" customHeight="1" x14ac:dyDescent="0.25">
      <c r="A42" s="124">
        <v>21</v>
      </c>
      <c r="B42" s="4">
        <v>515</v>
      </c>
      <c r="C42" s="10"/>
      <c r="D42" s="10"/>
      <c r="E42" s="18"/>
      <c r="F42" s="6"/>
      <c r="G42" s="6"/>
      <c r="H42" s="37"/>
      <c r="I42" s="87"/>
      <c r="J42" s="35"/>
      <c r="K42" s="22"/>
    </row>
    <row r="43" spans="1:11" ht="12" customHeight="1" x14ac:dyDescent="0.25">
      <c r="A43" s="126"/>
      <c r="B43" s="4">
        <v>515</v>
      </c>
      <c r="C43" s="10"/>
      <c r="D43" s="10"/>
      <c r="E43" s="18"/>
      <c r="F43" s="6"/>
      <c r="G43" s="6"/>
      <c r="H43" s="37"/>
      <c r="I43" s="87"/>
      <c r="J43" s="35"/>
      <c r="K43" s="22"/>
    </row>
    <row r="44" spans="1:11" ht="12" customHeight="1" x14ac:dyDescent="0.25">
      <c r="A44" s="125"/>
      <c r="B44" s="4">
        <v>515</v>
      </c>
      <c r="C44" s="10"/>
      <c r="D44" s="10"/>
      <c r="E44" s="18"/>
      <c r="F44" s="6"/>
      <c r="G44" s="6"/>
      <c r="H44" s="37"/>
      <c r="I44" s="87"/>
      <c r="J44" s="35"/>
      <c r="K44" s="22"/>
    </row>
    <row r="45" spans="1:11" ht="12" customHeight="1" x14ac:dyDescent="0.25">
      <c r="A45" s="124">
        <v>20</v>
      </c>
      <c r="B45" s="4">
        <v>516</v>
      </c>
      <c r="C45" s="10" t="s">
        <v>161</v>
      </c>
      <c r="D45" s="27">
        <v>34078</v>
      </c>
      <c r="E45" s="18" t="s">
        <v>3</v>
      </c>
      <c r="F45" s="6" t="s">
        <v>421</v>
      </c>
      <c r="G45" s="6" t="s">
        <v>269</v>
      </c>
      <c r="H45" s="37" t="s">
        <v>24</v>
      </c>
      <c r="I45" s="87" t="s">
        <v>368</v>
      </c>
      <c r="J45" s="35"/>
      <c r="K45" s="22">
        <v>197</v>
      </c>
    </row>
    <row r="46" spans="1:11" ht="12" customHeight="1" x14ac:dyDescent="0.25">
      <c r="A46" s="126"/>
      <c r="B46" s="4">
        <v>516</v>
      </c>
      <c r="C46" s="10"/>
      <c r="D46" s="10"/>
      <c r="E46" s="18"/>
      <c r="F46" s="6"/>
      <c r="G46" s="6"/>
      <c r="H46" s="37"/>
      <c r="I46" s="87"/>
      <c r="J46" s="35"/>
      <c r="K46" s="22"/>
    </row>
    <row r="47" spans="1:11" ht="12" customHeight="1" x14ac:dyDescent="0.25">
      <c r="A47" s="125"/>
      <c r="B47" s="4">
        <v>516</v>
      </c>
      <c r="C47" s="10"/>
      <c r="D47" s="10"/>
      <c r="E47" s="18"/>
      <c r="F47" s="6"/>
      <c r="G47" s="6"/>
      <c r="H47" s="37"/>
      <c r="I47" s="87"/>
      <c r="J47" s="35"/>
      <c r="K47" s="22"/>
    </row>
    <row r="48" spans="1:11" ht="12" customHeight="1" x14ac:dyDescent="0.25">
      <c r="A48" s="124">
        <v>19</v>
      </c>
      <c r="B48" s="4">
        <v>517</v>
      </c>
      <c r="C48" s="10" t="s">
        <v>369</v>
      </c>
      <c r="D48" s="27">
        <v>35183</v>
      </c>
      <c r="E48" s="18" t="s">
        <v>3</v>
      </c>
      <c r="F48" s="6" t="s">
        <v>408</v>
      </c>
      <c r="G48" s="6" t="s">
        <v>269</v>
      </c>
      <c r="H48" s="37" t="s">
        <v>10</v>
      </c>
      <c r="I48" s="87" t="s">
        <v>370</v>
      </c>
      <c r="J48" s="35"/>
      <c r="K48" s="22">
        <v>175</v>
      </c>
    </row>
    <row r="49" spans="1:11" ht="12" customHeight="1" x14ac:dyDescent="0.25">
      <c r="A49" s="126"/>
      <c r="B49" s="4">
        <v>517</v>
      </c>
      <c r="C49" s="10"/>
      <c r="D49" s="27"/>
      <c r="E49" s="18"/>
      <c r="F49" s="6"/>
      <c r="G49" s="6"/>
      <c r="H49" s="37"/>
      <c r="I49" s="43"/>
      <c r="J49" s="35"/>
      <c r="K49" s="22"/>
    </row>
    <row r="50" spans="1:11" ht="12" customHeight="1" x14ac:dyDescent="0.25">
      <c r="A50" s="125"/>
      <c r="B50" s="4">
        <v>517</v>
      </c>
      <c r="C50" s="19"/>
      <c r="D50" s="19"/>
      <c r="E50" s="18"/>
      <c r="F50" s="7"/>
      <c r="G50" s="7"/>
      <c r="H50" s="3"/>
      <c r="I50" s="31"/>
      <c r="J50" s="35"/>
      <c r="K50" s="22"/>
    </row>
    <row r="51" spans="1:11" ht="12" customHeight="1" x14ac:dyDescent="0.25">
      <c r="A51" s="124">
        <v>18</v>
      </c>
      <c r="B51" s="4">
        <v>518</v>
      </c>
      <c r="C51" s="10"/>
      <c r="D51" s="10"/>
      <c r="E51" s="18"/>
      <c r="F51" s="6"/>
      <c r="G51" s="6"/>
      <c r="H51" s="3"/>
      <c r="I51" s="31"/>
      <c r="J51" s="35"/>
      <c r="K51" s="22"/>
    </row>
    <row r="52" spans="1:11" ht="12" customHeight="1" x14ac:dyDescent="0.25">
      <c r="A52" s="126"/>
      <c r="B52" s="4">
        <v>518</v>
      </c>
      <c r="C52" s="10"/>
      <c r="D52" s="10"/>
      <c r="E52" s="18"/>
      <c r="F52" s="6"/>
      <c r="G52" s="6"/>
      <c r="H52" s="3"/>
      <c r="I52" s="31"/>
      <c r="J52" s="35"/>
      <c r="K52" s="22"/>
    </row>
    <row r="53" spans="1:11" ht="12" customHeight="1" x14ac:dyDescent="0.25">
      <c r="A53" s="125"/>
      <c r="B53" s="4">
        <v>518</v>
      </c>
      <c r="C53" s="10"/>
      <c r="D53" s="10"/>
      <c r="E53" s="18"/>
      <c r="F53" s="6"/>
      <c r="G53" s="6"/>
      <c r="H53" s="3"/>
      <c r="I53" s="31"/>
      <c r="J53" s="35"/>
      <c r="K53" s="22"/>
    </row>
    <row r="54" spans="1:11" ht="12" customHeight="1" x14ac:dyDescent="0.25">
      <c r="A54" s="124">
        <v>17</v>
      </c>
      <c r="B54" s="4">
        <v>519</v>
      </c>
      <c r="C54" s="10"/>
      <c r="D54" s="10"/>
      <c r="E54" s="18"/>
      <c r="F54" s="6"/>
      <c r="G54" s="6"/>
      <c r="H54" s="3"/>
      <c r="I54" s="31"/>
      <c r="J54" s="35"/>
      <c r="K54" s="22"/>
    </row>
    <row r="55" spans="1:11" ht="12" customHeight="1" x14ac:dyDescent="0.25">
      <c r="A55" s="126"/>
      <c r="B55" s="4">
        <v>519</v>
      </c>
      <c r="C55" s="10"/>
      <c r="D55" s="10"/>
      <c r="E55" s="18"/>
      <c r="F55" s="6"/>
      <c r="G55" s="6"/>
      <c r="H55" s="37"/>
      <c r="I55" s="87"/>
      <c r="J55" s="35"/>
      <c r="K55" s="22"/>
    </row>
    <row r="56" spans="1:11" ht="12" customHeight="1" x14ac:dyDescent="0.25">
      <c r="A56" s="125"/>
      <c r="B56" s="4">
        <v>519</v>
      </c>
      <c r="C56" s="10"/>
      <c r="D56" s="10"/>
      <c r="E56" s="18"/>
      <c r="F56" s="6"/>
      <c r="G56" s="6"/>
      <c r="H56" s="37"/>
      <c r="I56" s="87"/>
      <c r="J56" s="35"/>
      <c r="K56" s="22"/>
    </row>
    <row r="57" spans="1:11" ht="12" customHeight="1" x14ac:dyDescent="0.25">
      <c r="A57" s="124" t="s">
        <v>559</v>
      </c>
      <c r="B57" s="4">
        <v>520</v>
      </c>
      <c r="C57" s="10" t="s">
        <v>162</v>
      </c>
      <c r="D57" s="27">
        <v>34644</v>
      </c>
      <c r="E57" s="18" t="s">
        <v>3</v>
      </c>
      <c r="F57" s="6" t="s">
        <v>423</v>
      </c>
      <c r="G57" s="6" t="s">
        <v>269</v>
      </c>
      <c r="H57" s="37" t="s">
        <v>10</v>
      </c>
      <c r="I57" s="87" t="s">
        <v>371</v>
      </c>
      <c r="J57" s="35"/>
      <c r="K57" s="22">
        <v>160</v>
      </c>
    </row>
    <row r="58" spans="1:11" ht="12" customHeight="1" x14ac:dyDescent="0.25">
      <c r="A58" s="126"/>
      <c r="B58" s="4">
        <v>520</v>
      </c>
      <c r="C58" s="10" t="s">
        <v>414</v>
      </c>
      <c r="D58" s="27">
        <v>35017</v>
      </c>
      <c r="E58" s="6" t="s">
        <v>415</v>
      </c>
      <c r="F58" s="6" t="s">
        <v>415</v>
      </c>
      <c r="G58" s="6"/>
      <c r="H58" s="37" t="s">
        <v>99</v>
      </c>
      <c r="I58" s="87" t="s">
        <v>463</v>
      </c>
      <c r="J58" s="35"/>
      <c r="K58" s="22">
        <v>207</v>
      </c>
    </row>
    <row r="59" spans="1:11" ht="12" customHeight="1" x14ac:dyDescent="0.25">
      <c r="A59" s="126"/>
      <c r="B59" s="4">
        <v>520</v>
      </c>
      <c r="C59" s="10" t="s">
        <v>163</v>
      </c>
      <c r="D59" s="27">
        <v>34473</v>
      </c>
      <c r="E59" s="18" t="s">
        <v>3</v>
      </c>
      <c r="F59" s="6" t="s">
        <v>424</v>
      </c>
      <c r="G59" s="6" t="s">
        <v>269</v>
      </c>
      <c r="H59" s="37" t="s">
        <v>4</v>
      </c>
      <c r="I59" s="87" t="s">
        <v>368</v>
      </c>
      <c r="J59" s="35"/>
      <c r="K59" s="22">
        <v>186</v>
      </c>
    </row>
    <row r="60" spans="1:11" ht="12" customHeight="1" x14ac:dyDescent="0.25">
      <c r="A60" s="125"/>
      <c r="B60" s="4">
        <v>520</v>
      </c>
      <c r="C60" s="10"/>
      <c r="D60" s="27"/>
      <c r="E60" s="18"/>
      <c r="F60" s="6"/>
      <c r="G60" s="6"/>
      <c r="H60" s="37"/>
      <c r="I60" s="87"/>
      <c r="J60" s="35"/>
      <c r="K60" s="22"/>
    </row>
    <row r="61" spans="1:11" ht="12" customHeight="1" x14ac:dyDescent="0.25">
      <c r="A61" s="124">
        <v>1</v>
      </c>
      <c r="B61" s="4">
        <v>522</v>
      </c>
      <c r="C61" s="10" t="s">
        <v>164</v>
      </c>
      <c r="D61" s="27">
        <v>34496</v>
      </c>
      <c r="E61" s="18" t="s">
        <v>3</v>
      </c>
      <c r="F61" s="6" t="s">
        <v>424</v>
      </c>
      <c r="G61" s="6" t="s">
        <v>269</v>
      </c>
      <c r="H61" s="37" t="s">
        <v>11</v>
      </c>
      <c r="I61" s="87" t="s">
        <v>372</v>
      </c>
      <c r="J61" s="35"/>
      <c r="K61" s="22">
        <v>170</v>
      </c>
    </row>
    <row r="62" spans="1:11" ht="12" customHeight="1" x14ac:dyDescent="0.25">
      <c r="A62" s="125"/>
      <c r="B62" s="4">
        <v>522</v>
      </c>
      <c r="C62" s="10" t="s">
        <v>165</v>
      </c>
      <c r="D62" s="27">
        <v>34576</v>
      </c>
      <c r="E62" s="18" t="s">
        <v>3</v>
      </c>
      <c r="F62" s="6" t="s">
        <v>424</v>
      </c>
      <c r="G62" s="6" t="s">
        <v>269</v>
      </c>
      <c r="H62" s="37" t="s">
        <v>11</v>
      </c>
      <c r="I62" s="87" t="s">
        <v>372</v>
      </c>
      <c r="J62" s="35"/>
      <c r="K62" s="22">
        <v>171</v>
      </c>
    </row>
    <row r="63" spans="1:11" ht="12" customHeight="1" x14ac:dyDescent="0.25">
      <c r="A63" s="124">
        <v>2</v>
      </c>
      <c r="B63" s="4">
        <v>523</v>
      </c>
      <c r="C63" s="74" t="s">
        <v>169</v>
      </c>
      <c r="D63" s="75">
        <v>36026</v>
      </c>
      <c r="E63" s="72" t="s">
        <v>6</v>
      </c>
      <c r="F63" s="76" t="s">
        <v>308</v>
      </c>
      <c r="G63" s="76" t="s">
        <v>269</v>
      </c>
      <c r="H63" s="88" t="s">
        <v>11</v>
      </c>
      <c r="I63" s="90" t="s">
        <v>368</v>
      </c>
      <c r="J63" s="77"/>
      <c r="K63" s="78">
        <v>244</v>
      </c>
    </row>
    <row r="64" spans="1:11" ht="12" customHeight="1" x14ac:dyDescent="0.25">
      <c r="A64" s="125"/>
      <c r="B64" s="4">
        <v>523</v>
      </c>
      <c r="C64" s="10"/>
      <c r="D64" s="10"/>
      <c r="E64" s="18"/>
      <c r="F64" s="6"/>
      <c r="G64" s="6"/>
      <c r="H64" s="37"/>
      <c r="I64" s="87"/>
      <c r="J64" s="35"/>
      <c r="K64" s="22"/>
    </row>
    <row r="65" spans="1:11" ht="12" customHeight="1" x14ac:dyDescent="0.25">
      <c r="A65" s="124">
        <v>3</v>
      </c>
      <c r="B65" s="4">
        <v>524</v>
      </c>
      <c r="C65" s="10" t="s">
        <v>166</v>
      </c>
      <c r="D65" s="27">
        <v>35142</v>
      </c>
      <c r="E65" s="18" t="s">
        <v>3</v>
      </c>
      <c r="F65" s="6" t="s">
        <v>425</v>
      </c>
      <c r="G65" s="6" t="s">
        <v>269</v>
      </c>
      <c r="H65" s="37" t="str">
        <f>H61</f>
        <v>г.Ленинск-Кузнецкий</v>
      </c>
      <c r="I65" s="87" t="s">
        <v>367</v>
      </c>
      <c r="J65" s="35"/>
      <c r="K65" s="22">
        <v>163</v>
      </c>
    </row>
    <row r="66" spans="1:11" ht="12" customHeight="1" x14ac:dyDescent="0.25">
      <c r="A66" s="125"/>
      <c r="B66" s="4">
        <v>524</v>
      </c>
      <c r="C66" s="74" t="s">
        <v>373</v>
      </c>
      <c r="D66" s="75">
        <v>35128</v>
      </c>
      <c r="E66" s="72" t="s">
        <v>3</v>
      </c>
      <c r="F66" s="76" t="s">
        <v>311</v>
      </c>
      <c r="G66" s="76"/>
      <c r="H66" s="88" t="str">
        <f>H62</f>
        <v>г.Ленинск-Кузнецкий</v>
      </c>
      <c r="I66" s="90" t="s">
        <v>374</v>
      </c>
      <c r="J66" s="77"/>
      <c r="K66" s="78">
        <v>159</v>
      </c>
    </row>
    <row r="67" spans="1:11" ht="12" customHeight="1" x14ac:dyDescent="0.25">
      <c r="A67" s="124">
        <v>4</v>
      </c>
      <c r="B67" s="4">
        <v>525</v>
      </c>
      <c r="C67" s="10" t="s">
        <v>167</v>
      </c>
      <c r="D67" s="27">
        <v>35957</v>
      </c>
      <c r="E67" s="18" t="s">
        <v>6</v>
      </c>
      <c r="F67" s="6" t="s">
        <v>395</v>
      </c>
      <c r="G67" s="6" t="s">
        <v>381</v>
      </c>
      <c r="H67" s="37" t="s">
        <v>168</v>
      </c>
      <c r="I67" s="87" t="s">
        <v>368</v>
      </c>
      <c r="J67" s="35"/>
      <c r="K67" s="22">
        <v>98</v>
      </c>
    </row>
    <row r="68" spans="1:11" ht="12" customHeight="1" x14ac:dyDescent="0.25">
      <c r="A68" s="125"/>
      <c r="B68" s="4">
        <v>525</v>
      </c>
      <c r="C68" s="10"/>
      <c r="D68" s="10"/>
      <c r="E68" s="18"/>
      <c r="F68" s="6"/>
      <c r="G68" s="6"/>
      <c r="H68" s="37"/>
      <c r="I68" s="87"/>
      <c r="J68" s="35"/>
      <c r="K68" s="22"/>
    </row>
    <row r="69" spans="1:11" ht="12" customHeight="1" x14ac:dyDescent="0.25">
      <c r="A69" s="124">
        <v>5</v>
      </c>
      <c r="B69" s="4">
        <v>527</v>
      </c>
      <c r="C69" s="10" t="s">
        <v>185</v>
      </c>
      <c r="D69" s="27">
        <v>36443</v>
      </c>
      <c r="E69" s="18" t="s">
        <v>6</v>
      </c>
      <c r="F69" s="6" t="s">
        <v>197</v>
      </c>
      <c r="G69" s="6" t="s">
        <v>269</v>
      </c>
      <c r="H69" s="37" t="s">
        <v>32</v>
      </c>
      <c r="I69" s="87" t="s">
        <v>368</v>
      </c>
      <c r="J69" s="35"/>
      <c r="K69" s="22">
        <v>70</v>
      </c>
    </row>
    <row r="70" spans="1:11" ht="12" customHeight="1" x14ac:dyDescent="0.25">
      <c r="A70" s="125"/>
      <c r="B70" s="4">
        <v>527</v>
      </c>
      <c r="C70" s="10" t="s">
        <v>186</v>
      </c>
      <c r="D70" s="27">
        <v>36423</v>
      </c>
      <c r="E70" s="18" t="s">
        <v>6</v>
      </c>
      <c r="F70" s="6" t="s">
        <v>382</v>
      </c>
      <c r="G70" s="6" t="s">
        <v>269</v>
      </c>
      <c r="H70" s="37" t="s">
        <v>198</v>
      </c>
      <c r="I70" s="87" t="s">
        <v>368</v>
      </c>
      <c r="J70" s="35"/>
      <c r="K70" s="22">
        <v>5</v>
      </c>
    </row>
    <row r="71" spans="1:11" ht="12" customHeight="1" x14ac:dyDescent="0.25">
      <c r="A71" s="124">
        <v>6</v>
      </c>
      <c r="B71" s="4">
        <v>528</v>
      </c>
      <c r="C71" s="10" t="s">
        <v>375</v>
      </c>
      <c r="D71" s="27">
        <v>35903</v>
      </c>
      <c r="E71" s="18" t="s">
        <v>6</v>
      </c>
      <c r="F71" s="6" t="s">
        <v>397</v>
      </c>
      <c r="G71" s="32" t="s">
        <v>269</v>
      </c>
      <c r="H71" s="89" t="s">
        <v>33</v>
      </c>
      <c r="I71" s="87" t="s">
        <v>362</v>
      </c>
      <c r="J71" s="35"/>
      <c r="K71" s="22">
        <v>136</v>
      </c>
    </row>
    <row r="72" spans="1:11" ht="12" customHeight="1" x14ac:dyDescent="0.25">
      <c r="A72" s="125"/>
      <c r="B72" s="4">
        <v>528</v>
      </c>
      <c r="C72" s="10" t="s">
        <v>376</v>
      </c>
      <c r="D72" s="27">
        <v>35806</v>
      </c>
      <c r="E72" s="18" t="s">
        <v>6</v>
      </c>
      <c r="F72" s="6" t="s">
        <v>397</v>
      </c>
      <c r="G72" s="6" t="s">
        <v>269</v>
      </c>
      <c r="H72" s="37" t="s">
        <v>443</v>
      </c>
      <c r="I72" s="87" t="s">
        <v>362</v>
      </c>
      <c r="J72" s="35"/>
      <c r="K72" s="22">
        <v>114</v>
      </c>
    </row>
    <row r="73" spans="1:11" ht="12" customHeight="1" x14ac:dyDescent="0.25">
      <c r="A73" s="124">
        <v>7</v>
      </c>
      <c r="B73" s="4">
        <v>529</v>
      </c>
      <c r="C73" s="10" t="s">
        <v>154</v>
      </c>
      <c r="D73" s="27">
        <v>35219</v>
      </c>
      <c r="E73" s="18" t="s">
        <v>3</v>
      </c>
      <c r="F73" s="6" t="s">
        <v>425</v>
      </c>
      <c r="G73" s="6" t="s">
        <v>269</v>
      </c>
      <c r="H73" s="37" t="s">
        <v>155</v>
      </c>
      <c r="I73" s="87" t="s">
        <v>362</v>
      </c>
      <c r="J73" s="35"/>
      <c r="K73" s="22">
        <v>183</v>
      </c>
    </row>
    <row r="74" spans="1:11" ht="12" customHeight="1" x14ac:dyDescent="0.25">
      <c r="A74" s="125"/>
      <c r="B74" s="4">
        <v>529</v>
      </c>
      <c r="C74" s="10" t="s">
        <v>156</v>
      </c>
      <c r="D74" s="27">
        <v>35381</v>
      </c>
      <c r="E74" s="18" t="s">
        <v>3</v>
      </c>
      <c r="F74" s="6" t="s">
        <v>311</v>
      </c>
      <c r="G74" s="6" t="s">
        <v>269</v>
      </c>
      <c r="H74" s="37" t="s">
        <v>16</v>
      </c>
      <c r="I74" s="87" t="s">
        <v>362</v>
      </c>
      <c r="J74" s="36"/>
      <c r="K74" s="22">
        <v>179</v>
      </c>
    </row>
    <row r="75" spans="1:11" ht="12" customHeight="1" x14ac:dyDescent="0.25">
      <c r="A75" s="124">
        <v>8</v>
      </c>
      <c r="B75" s="4">
        <v>530</v>
      </c>
      <c r="C75" s="10" t="s">
        <v>404</v>
      </c>
      <c r="D75" s="27">
        <v>34572</v>
      </c>
      <c r="E75" s="18" t="s">
        <v>3</v>
      </c>
      <c r="F75" s="6" t="s">
        <v>405</v>
      </c>
      <c r="G75" s="6" t="s">
        <v>269</v>
      </c>
      <c r="H75" s="37" t="s">
        <v>11</v>
      </c>
      <c r="I75" s="87" t="s">
        <v>464</v>
      </c>
      <c r="J75" s="35"/>
      <c r="K75" s="22">
        <v>172</v>
      </c>
    </row>
    <row r="76" spans="1:11" ht="12" customHeight="1" x14ac:dyDescent="0.25">
      <c r="A76" s="125"/>
      <c r="B76" s="4">
        <v>530</v>
      </c>
      <c r="C76" s="10" t="s">
        <v>170</v>
      </c>
      <c r="D76" s="27">
        <v>35095</v>
      </c>
      <c r="E76" s="18" t="s">
        <v>3</v>
      </c>
      <c r="F76" s="6" t="s">
        <v>419</v>
      </c>
      <c r="G76" s="6" t="s">
        <v>269</v>
      </c>
      <c r="H76" s="37" t="s">
        <v>33</v>
      </c>
      <c r="I76" s="87" t="s">
        <v>368</v>
      </c>
      <c r="J76" s="35"/>
      <c r="K76" s="22">
        <v>192</v>
      </c>
    </row>
    <row r="77" spans="1:11" ht="12" customHeight="1" x14ac:dyDescent="0.25">
      <c r="A77" s="124">
        <v>9</v>
      </c>
      <c r="B77" s="4">
        <v>532</v>
      </c>
      <c r="C77" s="10" t="s">
        <v>171</v>
      </c>
      <c r="D77" s="27">
        <v>35205</v>
      </c>
      <c r="E77" s="18" t="s">
        <v>3</v>
      </c>
      <c r="F77" s="6" t="s">
        <v>426</v>
      </c>
      <c r="G77" s="6" t="s">
        <v>269</v>
      </c>
      <c r="H77" s="37" t="s">
        <v>172</v>
      </c>
      <c r="I77" s="87" t="s">
        <v>367</v>
      </c>
      <c r="J77" s="35"/>
      <c r="K77" s="22">
        <v>176</v>
      </c>
    </row>
    <row r="78" spans="1:11" ht="12" customHeight="1" x14ac:dyDescent="0.25">
      <c r="A78" s="125"/>
      <c r="B78" s="4">
        <v>532</v>
      </c>
      <c r="C78" s="10" t="s">
        <v>173</v>
      </c>
      <c r="D78" s="27">
        <v>35286</v>
      </c>
      <c r="E78" s="18" t="s">
        <v>3</v>
      </c>
      <c r="F78" s="6" t="s">
        <v>419</v>
      </c>
      <c r="G78" s="6" t="s">
        <v>269</v>
      </c>
      <c r="H78" s="37" t="s">
        <v>4</v>
      </c>
      <c r="I78" s="87" t="s">
        <v>362</v>
      </c>
      <c r="J78" s="35"/>
      <c r="K78" s="22">
        <v>177</v>
      </c>
    </row>
    <row r="79" spans="1:11" ht="12" customHeight="1" x14ac:dyDescent="0.25">
      <c r="A79" s="124">
        <v>10</v>
      </c>
      <c r="B79" s="4">
        <v>533</v>
      </c>
      <c r="C79" s="10" t="s">
        <v>174</v>
      </c>
      <c r="D79" s="27">
        <v>35709</v>
      </c>
      <c r="E79" s="18" t="s">
        <v>3</v>
      </c>
      <c r="F79" s="6" t="s">
        <v>403</v>
      </c>
      <c r="G79" s="6" t="s">
        <v>269</v>
      </c>
      <c r="H79" s="37" t="s">
        <v>84</v>
      </c>
      <c r="I79" s="87" t="s">
        <v>368</v>
      </c>
      <c r="J79" s="35"/>
      <c r="K79" s="22">
        <v>166</v>
      </c>
    </row>
    <row r="80" spans="1:11" ht="12" customHeight="1" x14ac:dyDescent="0.25">
      <c r="A80" s="125"/>
      <c r="B80" s="4">
        <v>533</v>
      </c>
      <c r="C80" s="10"/>
      <c r="D80" s="10"/>
      <c r="E80" s="18"/>
      <c r="F80" s="6"/>
      <c r="G80" s="6"/>
      <c r="H80" s="37"/>
      <c r="I80" s="87"/>
      <c r="J80" s="35"/>
      <c r="K80" s="22"/>
    </row>
    <row r="81" spans="1:11" ht="12" customHeight="1" x14ac:dyDescent="0.25">
      <c r="A81" s="124">
        <v>11</v>
      </c>
      <c r="B81" s="4">
        <v>534</v>
      </c>
      <c r="C81" s="10" t="s">
        <v>175</v>
      </c>
      <c r="D81" s="27">
        <v>35184</v>
      </c>
      <c r="E81" s="18" t="s">
        <v>3</v>
      </c>
      <c r="F81" s="6" t="s">
        <v>408</v>
      </c>
      <c r="G81" s="6" t="s">
        <v>269</v>
      </c>
      <c r="H81" s="37" t="s">
        <v>16</v>
      </c>
      <c r="I81" s="87" t="s">
        <v>362</v>
      </c>
      <c r="J81" s="35"/>
      <c r="K81" s="22">
        <v>190</v>
      </c>
    </row>
    <row r="82" spans="1:11" ht="12" customHeight="1" x14ac:dyDescent="0.25">
      <c r="A82" s="125"/>
      <c r="B82" s="4">
        <v>534</v>
      </c>
      <c r="C82" s="10" t="s">
        <v>176</v>
      </c>
      <c r="D82" s="27">
        <v>34999</v>
      </c>
      <c r="E82" s="18" t="s">
        <v>3</v>
      </c>
      <c r="F82" s="6" t="s">
        <v>427</v>
      </c>
      <c r="G82" s="6" t="s">
        <v>381</v>
      </c>
      <c r="H82" s="37" t="s">
        <v>177</v>
      </c>
      <c r="I82" s="87" t="s">
        <v>368</v>
      </c>
      <c r="J82" s="35"/>
      <c r="K82" s="22">
        <v>191</v>
      </c>
    </row>
    <row r="83" spans="1:11" ht="12" customHeight="1" x14ac:dyDescent="0.25">
      <c r="A83" s="124">
        <v>12</v>
      </c>
      <c r="B83" s="4">
        <v>535</v>
      </c>
      <c r="C83" s="29" t="s">
        <v>136</v>
      </c>
      <c r="D83" s="33">
        <v>35689</v>
      </c>
      <c r="E83" s="18" t="s">
        <v>3</v>
      </c>
      <c r="F83" s="30" t="s">
        <v>428</v>
      </c>
      <c r="G83" s="30" t="s">
        <v>269</v>
      </c>
      <c r="H83" s="37" t="s">
        <v>121</v>
      </c>
      <c r="I83" s="87" t="s">
        <v>362</v>
      </c>
      <c r="J83" s="35"/>
      <c r="K83" s="22">
        <v>184</v>
      </c>
    </row>
    <row r="84" spans="1:11" ht="12" customHeight="1" x14ac:dyDescent="0.25">
      <c r="A84" s="125"/>
      <c r="B84" s="4">
        <v>535</v>
      </c>
      <c r="C84" s="10" t="s">
        <v>137</v>
      </c>
      <c r="D84" s="27">
        <v>35387</v>
      </c>
      <c r="E84" s="18" t="s">
        <v>3</v>
      </c>
      <c r="F84" s="6" t="s">
        <v>422</v>
      </c>
      <c r="G84" s="6" t="s">
        <v>381</v>
      </c>
      <c r="H84" s="37" t="s">
        <v>121</v>
      </c>
      <c r="I84" s="87" t="s">
        <v>377</v>
      </c>
      <c r="J84" s="35"/>
      <c r="K84" s="22">
        <v>201</v>
      </c>
    </row>
    <row r="85" spans="1:11" ht="12" customHeight="1" x14ac:dyDescent="0.25">
      <c r="A85" s="124">
        <v>13</v>
      </c>
      <c r="B85" s="4">
        <v>537</v>
      </c>
      <c r="C85" s="10" t="s">
        <v>178</v>
      </c>
      <c r="D85" s="27">
        <v>35188</v>
      </c>
      <c r="E85" s="18" t="s">
        <v>3</v>
      </c>
      <c r="F85" s="6" t="s">
        <v>422</v>
      </c>
      <c r="G85" s="6" t="s">
        <v>269</v>
      </c>
      <c r="H85" s="37" t="s">
        <v>121</v>
      </c>
      <c r="I85" s="87" t="s">
        <v>362</v>
      </c>
      <c r="J85" s="35"/>
      <c r="K85" s="22">
        <v>189</v>
      </c>
    </row>
    <row r="86" spans="1:11" ht="12" customHeight="1" x14ac:dyDescent="0.25">
      <c r="A86" s="125"/>
      <c r="B86" s="4">
        <v>537</v>
      </c>
      <c r="C86" s="10" t="s">
        <v>179</v>
      </c>
      <c r="D86" s="27">
        <v>35106</v>
      </c>
      <c r="E86" s="18" t="s">
        <v>3</v>
      </c>
      <c r="F86" s="6" t="s">
        <v>425</v>
      </c>
      <c r="G86" s="6" t="s">
        <v>269</v>
      </c>
      <c r="H86" s="37" t="s">
        <v>33</v>
      </c>
      <c r="I86" s="87" t="s">
        <v>367</v>
      </c>
      <c r="J86" s="35"/>
      <c r="K86" s="22">
        <v>167</v>
      </c>
    </row>
    <row r="87" spans="1:11" ht="12" customHeight="1" x14ac:dyDescent="0.25">
      <c r="A87" s="124">
        <v>14</v>
      </c>
      <c r="B87" s="4">
        <v>538</v>
      </c>
      <c r="C87" s="8" t="s">
        <v>568</v>
      </c>
      <c r="D87" s="83">
        <v>34393</v>
      </c>
      <c r="E87" s="18" t="s">
        <v>3</v>
      </c>
      <c r="F87" s="84" t="s">
        <v>422</v>
      </c>
      <c r="G87" s="84" t="s">
        <v>381</v>
      </c>
      <c r="H87" s="86" t="s">
        <v>569</v>
      </c>
      <c r="I87" s="85" t="s">
        <v>570</v>
      </c>
      <c r="J87" s="34"/>
      <c r="K87" s="84">
        <v>273</v>
      </c>
    </row>
    <row r="88" spans="1:11" ht="12" customHeight="1" x14ac:dyDescent="0.25">
      <c r="A88" s="125"/>
      <c r="B88" s="4">
        <v>538</v>
      </c>
      <c r="C88" s="10"/>
      <c r="D88" s="10"/>
      <c r="E88" s="18"/>
      <c r="F88" s="6"/>
      <c r="G88" s="6"/>
      <c r="H88" s="3"/>
      <c r="I88" s="31"/>
      <c r="J88" s="35"/>
      <c r="K88" s="22"/>
    </row>
    <row r="89" spans="1:11" ht="12" customHeight="1" x14ac:dyDescent="0.25">
      <c r="A89" s="124">
        <v>15</v>
      </c>
      <c r="B89" s="4">
        <v>539</v>
      </c>
      <c r="C89" s="10" t="s">
        <v>180</v>
      </c>
      <c r="D89" s="27">
        <v>35100</v>
      </c>
      <c r="E89" s="18" t="s">
        <v>3</v>
      </c>
      <c r="F89" s="6" t="s">
        <v>421</v>
      </c>
      <c r="G89" s="6" t="s">
        <v>269</v>
      </c>
      <c r="H89" s="37" t="s">
        <v>75</v>
      </c>
      <c r="I89" s="87" t="s">
        <v>362</v>
      </c>
      <c r="J89" s="35"/>
      <c r="K89" s="22">
        <v>180</v>
      </c>
    </row>
    <row r="90" spans="1:11" ht="12" customHeight="1" x14ac:dyDescent="0.25">
      <c r="A90" s="125"/>
      <c r="B90" s="4">
        <v>539</v>
      </c>
      <c r="C90" s="10" t="s">
        <v>181</v>
      </c>
      <c r="D90" s="27">
        <v>35027</v>
      </c>
      <c r="E90" s="18" t="s">
        <v>3</v>
      </c>
      <c r="F90" s="6" t="s">
        <v>425</v>
      </c>
      <c r="G90" s="6" t="s">
        <v>269</v>
      </c>
      <c r="H90" s="37" t="s">
        <v>75</v>
      </c>
      <c r="I90" s="87" t="s">
        <v>362</v>
      </c>
      <c r="J90" s="35"/>
      <c r="K90" s="22">
        <v>185</v>
      </c>
    </row>
    <row r="91" spans="1:11" ht="12" customHeight="1" x14ac:dyDescent="0.25">
      <c r="A91" s="124">
        <v>16</v>
      </c>
      <c r="B91" s="4">
        <v>540</v>
      </c>
      <c r="C91" s="10" t="s">
        <v>183</v>
      </c>
      <c r="D91" s="27">
        <v>35014</v>
      </c>
      <c r="E91" s="18" t="s">
        <v>3</v>
      </c>
      <c r="F91" s="6" t="s">
        <v>425</v>
      </c>
      <c r="G91" s="6" t="s">
        <v>269</v>
      </c>
      <c r="H91" s="37" t="s">
        <v>182</v>
      </c>
      <c r="I91" s="87" t="s">
        <v>362</v>
      </c>
      <c r="J91" s="35"/>
      <c r="K91" s="22">
        <v>187</v>
      </c>
    </row>
    <row r="92" spans="1:11" ht="12" customHeight="1" x14ac:dyDescent="0.25">
      <c r="A92" s="125"/>
      <c r="B92" s="4">
        <v>540</v>
      </c>
      <c r="C92" s="10"/>
      <c r="D92" s="10"/>
      <c r="E92" s="18"/>
      <c r="F92" s="6"/>
      <c r="G92" s="6"/>
      <c r="H92" s="3"/>
      <c r="I92" s="31"/>
      <c r="J92" s="35"/>
      <c r="K92" s="22"/>
    </row>
  </sheetData>
  <sortState ref="C48:K49">
    <sortCondition ref="C48"/>
  </sortState>
  <mergeCells count="36">
    <mergeCell ref="B1:K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91:A92"/>
    <mergeCell ref="A81:A82"/>
    <mergeCell ref="A83:A84"/>
    <mergeCell ref="A85:A86"/>
    <mergeCell ref="A87:A88"/>
    <mergeCell ref="A89:A90"/>
  </mergeCells>
  <pageMargins left="0.39370078740157483" right="0.39370078740157483" top="0.19685039370078741" bottom="0.19685039370078741" header="0" footer="0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D30" sqref="D30"/>
    </sheetView>
  </sheetViews>
  <sheetFormatPr defaultRowHeight="15" x14ac:dyDescent="0.25"/>
  <cols>
    <col min="1" max="1" width="12.5703125" customWidth="1"/>
    <col min="2" max="2" width="7.7109375" customWidth="1"/>
    <col min="3" max="3" width="6.85546875" customWidth="1"/>
    <col min="4" max="4" width="8.85546875" customWidth="1"/>
    <col min="5" max="5" width="12.42578125" customWidth="1"/>
    <col min="6" max="6" width="5.5703125" customWidth="1"/>
    <col min="7" max="7" width="5.7109375" customWidth="1"/>
    <col min="8" max="8" width="7.42578125" customWidth="1"/>
    <col min="9" max="9" width="8.140625" customWidth="1"/>
    <col min="10" max="10" width="7.85546875" customWidth="1"/>
  </cols>
  <sheetData>
    <row r="1" spans="1:10" x14ac:dyDescent="0.25">
      <c r="A1" s="130" t="s">
        <v>500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19.5" customHeight="1" x14ac:dyDescent="0.25">
      <c r="A2" s="130" t="s">
        <v>499</v>
      </c>
      <c r="B2" s="130"/>
      <c r="C2" s="130"/>
      <c r="D2" s="130"/>
      <c r="E2" s="130"/>
      <c r="F2" s="130"/>
      <c r="G2" s="130"/>
      <c r="H2" s="130"/>
      <c r="I2" s="130"/>
      <c r="J2" s="130"/>
    </row>
    <row r="3" spans="1:10" ht="19.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</row>
    <row r="4" spans="1:10" ht="25.5" x14ac:dyDescent="0.25">
      <c r="A4" s="52" t="s">
        <v>492</v>
      </c>
      <c r="B4" s="54" t="s">
        <v>488</v>
      </c>
      <c r="C4" s="52" t="s">
        <v>501</v>
      </c>
      <c r="D4" s="52" t="s">
        <v>502</v>
      </c>
      <c r="E4" s="52" t="s">
        <v>498</v>
      </c>
      <c r="F4" s="52" t="s">
        <v>489</v>
      </c>
      <c r="G4" s="52" t="s">
        <v>490</v>
      </c>
      <c r="H4" s="52" t="s">
        <v>336</v>
      </c>
      <c r="I4" s="52" t="s">
        <v>30</v>
      </c>
      <c r="J4" s="52" t="s">
        <v>491</v>
      </c>
    </row>
    <row r="5" spans="1:10" ht="30.75" x14ac:dyDescent="0.35">
      <c r="A5" s="49" t="s">
        <v>494</v>
      </c>
      <c r="B5" s="53">
        <f>F5+G5+H5+I5+J5</f>
        <v>40</v>
      </c>
      <c r="C5" s="50">
        <f>F5+G5</f>
        <v>14</v>
      </c>
      <c r="D5" s="50">
        <f>H5+I5+J5</f>
        <v>26</v>
      </c>
      <c r="E5" s="55">
        <v>25</v>
      </c>
      <c r="F5" s="49">
        <v>12</v>
      </c>
      <c r="G5" s="49">
        <v>2</v>
      </c>
      <c r="H5" s="49">
        <v>13</v>
      </c>
      <c r="I5" s="49">
        <v>12</v>
      </c>
      <c r="J5" s="49">
        <v>1</v>
      </c>
    </row>
    <row r="6" spans="1:10" ht="19.5" x14ac:dyDescent="0.35">
      <c r="A6" s="49" t="s">
        <v>497</v>
      </c>
      <c r="B6" s="53">
        <f t="shared" ref="B6:B8" si="0">F6+G6+H6+I6+J6</f>
        <v>84</v>
      </c>
      <c r="C6" s="50">
        <f t="shared" ref="C6:C9" si="1">F6+G6</f>
        <v>77</v>
      </c>
      <c r="D6" s="50">
        <f t="shared" ref="D6:D9" si="2">H6+I6+J6</f>
        <v>7</v>
      </c>
      <c r="E6" s="55">
        <v>40</v>
      </c>
      <c r="F6" s="49">
        <v>71</v>
      </c>
      <c r="G6" s="49">
        <v>6</v>
      </c>
      <c r="H6" s="49">
        <v>2</v>
      </c>
      <c r="I6" s="49">
        <v>5</v>
      </c>
      <c r="J6" s="49"/>
    </row>
    <row r="7" spans="1:10" ht="30.75" x14ac:dyDescent="0.35">
      <c r="A7" s="49" t="s">
        <v>495</v>
      </c>
      <c r="B7" s="53">
        <f t="shared" si="0"/>
        <v>80</v>
      </c>
      <c r="C7" s="50">
        <f t="shared" si="1"/>
        <v>80</v>
      </c>
      <c r="D7" s="50">
        <f t="shared" si="2"/>
        <v>0</v>
      </c>
      <c r="E7" s="55">
        <v>41</v>
      </c>
      <c r="F7" s="49">
        <v>75</v>
      </c>
      <c r="G7" s="49">
        <v>5</v>
      </c>
      <c r="H7" s="49"/>
      <c r="I7" s="49"/>
      <c r="J7" s="49"/>
    </row>
    <row r="8" spans="1:10" ht="30.75" x14ac:dyDescent="0.35">
      <c r="A8" s="49" t="s">
        <v>496</v>
      </c>
      <c r="B8" s="53">
        <f t="shared" si="0"/>
        <v>43</v>
      </c>
      <c r="C8" s="50">
        <f t="shared" si="1"/>
        <v>43</v>
      </c>
      <c r="D8" s="50">
        <f t="shared" si="2"/>
        <v>0</v>
      </c>
      <c r="E8" s="55">
        <v>4</v>
      </c>
      <c r="F8" s="49">
        <v>9</v>
      </c>
      <c r="G8" s="49">
        <v>34</v>
      </c>
      <c r="H8" s="49"/>
      <c r="I8" s="49"/>
      <c r="J8" s="49"/>
    </row>
    <row r="9" spans="1:10" ht="19.5" x14ac:dyDescent="0.35">
      <c r="A9" s="49" t="s">
        <v>493</v>
      </c>
      <c r="B9" s="53">
        <f>SUM(B5:B8)</f>
        <v>247</v>
      </c>
      <c r="C9" s="50">
        <f t="shared" si="1"/>
        <v>214</v>
      </c>
      <c r="D9" s="50">
        <f t="shared" si="2"/>
        <v>33</v>
      </c>
      <c r="E9" s="55">
        <f>SUM(E5:E8)</f>
        <v>110</v>
      </c>
      <c r="F9" s="49">
        <f t="shared" ref="F9:J9" si="3">SUM(F5:F8)</f>
        <v>167</v>
      </c>
      <c r="G9" s="49">
        <f t="shared" si="3"/>
        <v>47</v>
      </c>
      <c r="H9" s="49">
        <f t="shared" si="3"/>
        <v>15</v>
      </c>
      <c r="I9" s="49">
        <f t="shared" si="3"/>
        <v>17</v>
      </c>
      <c r="J9" s="49">
        <f t="shared" si="3"/>
        <v>1</v>
      </c>
    </row>
    <row r="11" spans="1:10" x14ac:dyDescent="0.25">
      <c r="A11" s="131" t="s">
        <v>503</v>
      </c>
      <c r="B11" s="131"/>
      <c r="C11" s="131"/>
      <c r="D11" s="131"/>
      <c r="E11" s="131"/>
      <c r="F11" s="131"/>
      <c r="G11" s="131"/>
      <c r="H11" s="131"/>
      <c r="I11" s="131"/>
      <c r="J11" s="131"/>
    </row>
    <row r="12" spans="1:10" x14ac:dyDescent="0.25">
      <c r="A12" s="57">
        <v>42626</v>
      </c>
      <c r="B12" s="56" t="s">
        <v>506</v>
      </c>
      <c r="C12" s="56"/>
      <c r="D12" s="56"/>
      <c r="E12" s="56"/>
      <c r="F12" s="56"/>
      <c r="G12" s="56"/>
      <c r="H12" s="56"/>
      <c r="I12" s="56"/>
      <c r="J12" s="56"/>
    </row>
    <row r="13" spans="1:10" x14ac:dyDescent="0.25">
      <c r="A13" s="57">
        <v>42628</v>
      </c>
      <c r="B13" s="56" t="s">
        <v>504</v>
      </c>
      <c r="C13" s="56"/>
      <c r="D13" s="56"/>
      <c r="E13" s="56"/>
      <c r="F13" s="56"/>
      <c r="G13" s="56"/>
      <c r="H13" s="56"/>
      <c r="I13" s="56"/>
      <c r="J13" s="56"/>
    </row>
    <row r="14" spans="1:10" x14ac:dyDescent="0.25">
      <c r="A14" s="57">
        <v>42632</v>
      </c>
      <c r="B14" s="56" t="s">
        <v>505</v>
      </c>
      <c r="C14" s="56"/>
      <c r="D14" s="56"/>
      <c r="E14" s="56"/>
      <c r="F14" s="56"/>
      <c r="G14" s="56"/>
      <c r="H14" s="56"/>
      <c r="I14" s="56"/>
      <c r="J14" s="56"/>
    </row>
    <row r="16" spans="1:10" x14ac:dyDescent="0.25">
      <c r="A16" s="131" t="s">
        <v>507</v>
      </c>
      <c r="B16" s="131"/>
      <c r="C16" s="131"/>
      <c r="D16" s="131"/>
      <c r="E16" s="131"/>
      <c r="F16" s="131"/>
      <c r="G16" s="131"/>
      <c r="H16" s="131"/>
      <c r="I16" s="131"/>
      <c r="J16" s="131"/>
    </row>
    <row r="17" spans="1:10" x14ac:dyDescent="0.25">
      <c r="A17" s="57">
        <v>42644</v>
      </c>
      <c r="B17" s="58" t="s">
        <v>508</v>
      </c>
    </row>
    <row r="18" spans="1:10" x14ac:dyDescent="0.25">
      <c r="A18" s="57">
        <v>42648</v>
      </c>
      <c r="B18" s="58" t="s">
        <v>509</v>
      </c>
    </row>
    <row r="20" spans="1:10" x14ac:dyDescent="0.25">
      <c r="A20" s="131" t="s">
        <v>510</v>
      </c>
      <c r="B20" s="131"/>
      <c r="C20" s="131"/>
      <c r="D20" s="131"/>
      <c r="E20" s="131"/>
      <c r="F20" s="131"/>
      <c r="G20" s="131"/>
      <c r="H20" s="131"/>
      <c r="I20" s="131"/>
      <c r="J20" s="131"/>
    </row>
    <row r="21" spans="1:10" x14ac:dyDescent="0.25">
      <c r="A21" s="57">
        <v>42665</v>
      </c>
      <c r="B21" s="58" t="s">
        <v>512</v>
      </c>
    </row>
    <row r="22" spans="1:10" x14ac:dyDescent="0.25">
      <c r="A22" s="57">
        <v>42674</v>
      </c>
      <c r="B22" s="58" t="s">
        <v>511</v>
      </c>
    </row>
    <row r="24" spans="1:10" ht="15" customHeight="1" x14ac:dyDescent="0.25">
      <c r="A24" s="58" t="s">
        <v>514</v>
      </c>
      <c r="B24" s="58"/>
      <c r="C24" s="58"/>
      <c r="D24" s="58"/>
      <c r="E24" s="58"/>
      <c r="F24" s="58"/>
      <c r="G24" s="58"/>
      <c r="H24" s="58"/>
      <c r="I24" s="58"/>
      <c r="J24" s="58"/>
    </row>
    <row r="25" spans="1:10" x14ac:dyDescent="0.25">
      <c r="A25" s="58" t="s">
        <v>515</v>
      </c>
      <c r="B25" s="58"/>
      <c r="C25" s="58"/>
      <c r="D25" s="58"/>
      <c r="E25" s="58"/>
      <c r="F25" s="58"/>
      <c r="G25" s="58"/>
      <c r="H25" s="58"/>
      <c r="I25" s="58"/>
      <c r="J25" s="58"/>
    </row>
    <row r="26" spans="1:10" x14ac:dyDescent="0.25">
      <c r="A26" s="58" t="s">
        <v>516</v>
      </c>
      <c r="B26" s="58"/>
      <c r="C26" s="58"/>
      <c r="D26" s="58"/>
      <c r="E26" s="58"/>
      <c r="F26" s="58"/>
      <c r="G26" s="58"/>
      <c r="H26" s="58"/>
      <c r="I26" s="58"/>
      <c r="J26" s="58"/>
    </row>
    <row r="27" spans="1:10" x14ac:dyDescent="0.25">
      <c r="A27" s="58" t="s">
        <v>517</v>
      </c>
    </row>
    <row r="41" spans="1:1" x14ac:dyDescent="0.25">
      <c r="A41" s="58" t="s">
        <v>513</v>
      </c>
    </row>
  </sheetData>
  <mergeCells count="5">
    <mergeCell ref="A1:J1"/>
    <mergeCell ref="A2:J2"/>
    <mergeCell ref="A11:J11"/>
    <mergeCell ref="A16:J16"/>
    <mergeCell ref="A20:J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 этаж </vt:lpstr>
      <vt:lpstr>3 этаж</vt:lpstr>
      <vt:lpstr>4 этаж</vt:lpstr>
      <vt:lpstr>5 этаж</vt:lpstr>
      <vt:lpstr>отчет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2017-05-02T08:37:09Z</dcterms:modified>
</cp:coreProperties>
</file>